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Summary" sheetId="1" state="visible" r:id="rId3"/>
    <sheet name="⚙️ Assumptions" sheetId="2" state="visible" r:id="rId4"/>
    <sheet name="📈 P&amp;L Projection" sheetId="3" state="visible" r:id="rId5"/>
    <sheet name="🔥 Burn &amp; Runway" sheetId="4" state="visible" r:id="rId6"/>
    <sheet name="💡 Unit Economics" sheetId="5" state="visible" r:id="rId7"/>
    <sheet name="🤝 Investor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<sst xmlns="http://schemas.openxmlformats.org/spreadsheetml/2006/main" count="271" uniqueCount="258">
  <si>
    <t xml:space="preserve">PREPZO — FINANCIAL MODEL</t>
  </si>
  <si>
    <t xml:space="preserve">Pre-Seed Round  |  ₹75 Lakh Raise  |  18 Month Runway  |  India + US Investors</t>
  </si>
  <si>
    <t xml:space="preserve">  KEY METRICS AT A GLANCE</t>
  </si>
  <si>
    <t xml:space="preserve">Metric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</si>
  <si>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</si>
  <si>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</si>
  <si>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</si>
  <si>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</si>
  <si>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</si>
  <si>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Universities Onboarded</t>
  </si>
  <si>
    <t xml:space="preserve">Avg Students / University</t>
  </si>
  <si>
    <t xml:space="preserve">Total Active Students</t>
  </si>
  <si>
    <t xml:space="preserve">Revenue per Student (₹)</t>
  </si>
  <si>
    <t xml:space="preserve">Gross Revenue (₹ Lakh)</t>
  </si>
  <si>
    <t xml:space="preserve">Gross Margin (%)</t>
  </si>
  <si>
    <t xml:space="preserve">60%</t>
  </si>
  <si>
    <t xml:space="preserve">68%</t>
  </si>
  <si>
    <t xml:space="preserve">72%</t>
  </si>
  <si>
    <t xml:space="preserve">75%</t>
  </si>
  <si>
    <t xml:space="preserve">78%</t>
  </si>
  <si>
    <t xml:space="preserve">Burn Rate / Month (₹ Lakh)</t>
  </si>
  <si>
    <t xml:space="preserve">Cumulative Runway (Months)</t>
  </si>
  <si>
    <t xml:space="preserve">--</t>
  </si>
  <si>
    <t xml:space="preserve">  USE OF FUNDS — ₹75 LAKH</t>
  </si>
  <si>
    <t xml:space="preserve">Category</t>
  </si>
  <si>
    <t xml:space="preserve">Amount (₹ Lakh)</t>
  </si>
  <si>
    <t xml:space="preserve">% of Raise</t>
  </si>
  <si>
    <t xml:space="preserve">Description</t>
  </si>
  <si>
    <t xml:space="preserve">Product / Tech Development</t>
  </si>
  <si>
    <t xml:space="preserve">MVP build, AI model integration, platform infra</t>
  </si>
  <si>
    <t xml:space="preserve">Sales &amp; University Partnerships</t>
  </si>
  <si>
    <t xml:space="preserve">Pilot outreach, demo programs, onboarding team</t>
  </si>
  <si>
    <t xml:space="preserve">Team (Hiring — CTO / Dev)</t>
  </si>
  <si>
    <t xml:space="preserve">First 2-3 key hires: tech + growth</t>
  </si>
  <si>
    <t xml:space="preserve">Marketing &amp; Brand</t>
  </si>
  <si>
    <t xml:space="preserve">Website, content, digital presence, events</t>
  </si>
  <si>
    <t xml:space="preserve">Operations &amp; Legal</t>
  </si>
  <si>
    <t xml:space="preserve">Company setup, compliance, admin costs</t>
  </si>
  <si>
    <t xml:space="preserve">TOTAL</t>
  </si>
  <si>
    <t xml:space="preserve">18 months runway at ₹4.2L/month avg burn</t>
  </si>
  <si>
    <t xml:space="preserve">Note: Blue = hardcoded input  |  Black = formula  |  Model built for Prepzo Pre-Seed Round, 2025  |  DCodecafe</t>
  </si>
  <si>
    <t xml:space="preserve">MODEL ASSUMPTIONS — PREPZO</t>
  </si>
  <si>
    <t xml:space="preserve">  MARKET &amp; GROWTH</t>
  </si>
  <si>
    <t xml:space="preserve">Target Market (Universities in India)</t>
  </si>
  <si>
    <t xml:space="preserve">42000</t>
  </si>
  <si>
    <t xml:space="preserve">Source: AICTE / UGC 2024 data</t>
  </si>
  <si>
    <t xml:space="preserve">Avg Students per University</t>
  </si>
  <si>
    <t xml:space="preserve">2000</t>
  </si>
  <si>
    <t xml:space="preserve">Mid-size Tier-2/3 university estimate</t>
  </si>
  <si>
    <t xml:space="preserve">Initial Target (Tier-2/3, high pain)</t>
  </si>
  <si>
    <t xml:space="preserve">500</t>
  </si>
  <si>
    <t xml:space="preserve">Pilot-ready segment</t>
  </si>
  <si>
    <t xml:space="preserve">Revenue per Student per Year (₹)</t>
  </si>
  <si>
    <t xml:space="preserve">1000</t>
  </si>
  <si>
    <t xml:space="preserve">Entry price point; scalable to ₹1500+</t>
  </si>
  <si>
    <t xml:space="preserve">University Onboarding — Y1</t>
  </si>
  <si>
    <t xml:space="preserve">1</t>
  </si>
  <si>
    <t xml:space="preserve">Anchor pilot university</t>
  </si>
  <si>
    <t xml:space="preserve">University Onboarding — Y2</t>
  </si>
  <si>
    <t xml:space="preserve">10</t>
  </si>
  <si>
    <t xml:space="preserve">Reference customer expansion</t>
  </si>
  <si>
    <t xml:space="preserve">University Onboarding — Y3</t>
  </si>
  <si>
    <t xml:space="preserve">50</t>
  </si>
  <si>
    <t xml:space="preserve">Regional scale</t>
  </si>
  <si>
    <t xml:space="preserve">University Onboarding — Y4</t>
  </si>
  <si>
    <t xml:space="preserve">100</t>
  </si>
  <si>
    <t xml:space="preserve">National scale</t>
  </si>
  <si>
    <t xml:space="preserve">University Onboarding — Y5</t>
  </si>
  <si>
    <t xml:space="preserve">200</t>
  </si>
  <si>
    <t xml:space="preserve">Pan-India + potential SEA expansion</t>
  </si>
  <si>
    <t xml:space="preserve">  UNIT ECONOMICS</t>
  </si>
  <si>
    <t xml:space="preserve">AI Inference Cost per Student/Month (₹)</t>
  </si>
  <si>
    <t xml:space="preserve">15</t>
  </si>
  <si>
    <t xml:space="preserve">LLM API cost estimate at current rates</t>
  </si>
  <si>
    <t xml:space="preserve">Platform Hosting per University/Month (₹)</t>
  </si>
  <si>
    <t xml:space="preserve">Cloud infra — AWS/GCP</t>
  </si>
  <si>
    <t xml:space="preserve">Customer Acquisition Cost — University (₹)</t>
  </si>
  <si>
    <t xml:space="preserve">25000</t>
  </si>
  <si>
    <t xml:space="preserve">Sales effort + demo + onboarding</t>
  </si>
  <si>
    <t xml:space="preserve">University Contract Length (Years)</t>
  </si>
  <si>
    <t xml:space="preserve">2</t>
  </si>
  <si>
    <t xml:space="preserve">Multi-year SaaS lock-in strategy</t>
  </si>
  <si>
    <t xml:space="preserve">Gross Margin — Y1 (%)</t>
  </si>
  <si>
    <t xml:space="preserve">Early stage — higher infra costs</t>
  </si>
  <si>
    <t xml:space="preserve">Gross Margin — Y3 (%)</t>
  </si>
  <si>
    <t xml:space="preserve">Economies of scale kick in</t>
  </si>
  <si>
    <t xml:space="preserve">Gross Margin — Y5 (%)</t>
  </si>
  <si>
    <t xml:space="preserve">Mature SaaS margins</t>
  </si>
  <si>
    <t xml:space="preserve">  BURN &amp; RUNWAY</t>
  </si>
  <si>
    <t xml:space="preserve">Total Raise (₹ Lakh)</t>
  </si>
  <si>
    <t xml:space="preserve">75</t>
  </si>
  <si>
    <t xml:space="preserve">Pre-seed round — 2025</t>
  </si>
  <si>
    <t xml:space="preserve">Target Runway (Months)</t>
  </si>
  <si>
    <t xml:space="preserve">18</t>
  </si>
  <si>
    <t xml:space="preserve">Enough to reach 10 universities</t>
  </si>
  <si>
    <t xml:space="preserve">Avg Monthly Burn — Y1 (₹ Lakh)</t>
  </si>
  <si>
    <t xml:space="preserve">4.2</t>
  </si>
  <si>
    <t xml:space="preserve">Calculated: Total Raise / Runway Months = avg monthly burn</t>
  </si>
  <si>
    <t xml:space="preserve">Burn Breakdown — Tech (%)</t>
  </si>
  <si>
    <t xml:space="preserve">40%</t>
  </si>
  <si>
    <t xml:space="preserve">Cloud, AI APIs, dev tools</t>
  </si>
  <si>
    <t xml:space="preserve">Burn Breakdown — People (%)</t>
  </si>
  <si>
    <t xml:space="preserve">35%</t>
  </si>
  <si>
    <t xml:space="preserve">2-3 hires in 18 months</t>
  </si>
  <si>
    <t xml:space="preserve">Burn Breakdown — Sales (%)</t>
  </si>
  <si>
    <t xml:space="preserve">15%</t>
  </si>
  <si>
    <t xml:space="preserve">Travel, demos, outreach</t>
  </si>
  <si>
    <t xml:space="preserve">Burn Breakdown — Other (%)</t>
  </si>
  <si>
    <t xml:space="preserve">10%</t>
  </si>
  <si>
    <t xml:space="preserve">Legal, admin, marketing</t>
  </si>
  <si>
    <t xml:space="preserve">PROFIT &amp; LOSS PROJECTION — 5 YEAR (₹ Lakh)</t>
  </si>
  <si>
    <t xml:space="preserve">Line Item</t>
  </si>
  <si>
    <t xml:space="preserve">Year 1
(2025–26)</t>
  </si>
  <si>
    <t xml:space="preserve">Year 2
(2026–27)</t>
  </si>
  <si>
    <t xml:space="preserve">Year 3
(2027–28)</t>
  </si>
  <si>
    <t xml:space="preserve">Year 4
(2028–29)</t>
  </si>
  <si>
    <t xml:space="preserve">Year 5
(2029–30)</t>
  </si>
  <si>
    <t xml:space="preserve">  REVENUE</t>
  </si>
  <si>
    <t xml:space="preserve">  University SaaS Subscriptions</t>
  </si>
  <si>
    <t xml:space="preserve">  Recruiter Access / Listing Fees</t>
  </si>
  <si>
    <t xml:space="preserve">  Premium Student Plans</t>
  </si>
  <si>
    <t xml:space="preserve">  TOTAL REVENUE</t>
  </si>
  <si>
    <t xml:space="preserve">  COST OF REVENUE</t>
  </si>
  <si>
    <t xml:space="preserve">  AI Inference &amp; API Costs</t>
  </si>
  <si>
    <t xml:space="preserve">  Cloud Hosting &amp; Infrastructure</t>
  </si>
  <si>
    <t xml:space="preserve">  TOTAL COGS</t>
  </si>
  <si>
    <t xml:space="preserve">  GROSS PROFIT</t>
  </si>
  <si>
    <t xml:space="preserve">  Gross Margin %</t>
  </si>
  <si>
    <t xml:space="preserve">  OPERATING EXPENSES</t>
  </si>
  <si>
    <t xml:space="preserve">  Salaries &amp; People</t>
  </si>
  <si>
    <t xml:space="preserve">  Sales &amp; University Partnerships</t>
  </si>
  <si>
    <t xml:space="preserve">  Product &amp; Engineering</t>
  </si>
  <si>
    <t xml:space="preserve">  Marketing &amp; Brand</t>
  </si>
  <si>
    <t xml:space="preserve">  General &amp; Administrative</t>
  </si>
  <si>
    <t xml:space="preserve">  TOTAL OPEX</t>
  </si>
  <si>
    <t xml:space="preserve">  EBITDA</t>
  </si>
  <si>
    <t xml:space="preserve">  EBITDA Margin %</t>
  </si>
  <si>
    <t xml:space="preserve">  CASH FLOW</t>
  </si>
  <si>
    <t xml:space="preserve">  Opening Cash (₹ Lakh)</t>
  </si>
  <si>
    <t xml:space="preserve">  Add: Funding Received</t>
  </si>
  <si>
    <t xml:space="preserve">  Closing Cash (₹ Lakh)</t>
  </si>
  <si>
    <t xml:space="preserve">  Months of Runway Remaining</t>
  </si>
  <si>
    <t xml:space="preserve">MONTHLY BURN &amp; RUNWAY TRACKER — 18 MONTHS (₹ Lakh)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</si>
  <si>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</si>
  <si>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</si>
  <si>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</si>
  <si>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</si>
  <si>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</si>
  <si>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</si>
  <si>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</si>
  <si>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</si>
  <si>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</si>
  <si>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</si>
  <si>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</si>
  <si>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</si>
  <si>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</si>
  <si>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</si>
  <si>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</si>
  <si>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</si>
  <si>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</si>
  <si>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</si>
  <si>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Tech / AI Infrastructure</t>
  </si>
  <si>
    <t xml:space="preserve">Salaries &amp; People</t>
  </si>
  <si>
    <t xml:space="preserve">Sales &amp; University Outreach</t>
  </si>
  <si>
    <t xml:space="preserve">Legal, Admin &amp; Misc</t>
  </si>
  <si>
    <t xml:space="preserve">TOTAL MONTHLY BURN</t>
  </si>
  <si>
    <t xml:space="preserve">Cumulative Cash Remaining (₹ Lakh)</t>
  </si>
  <si>
    <t xml:space="preserve">Expected Monthly Revenue (₹ Lakh)</t>
  </si>
  <si>
    <t xml:space="preserve">⚠️  Revenue kicks in from Month 6 (first pilot university contract signed). Burn ramps up gradually as team grows. Total 18M burn ≈ ₹63-68 Lakh, buffer ≈ ₹7-12 Lakh.</t>
  </si>
  <si>
    <t xml:space="preserve">UNIT ECONOMICS — PREPZO</t>
  </si>
  <si>
    <t xml:space="preserve">  UNIVERSITY (B2B CUSTOMER)</t>
  </si>
  <si>
    <t xml:space="preserve">  Revenue per University / Year (₹)</t>
  </si>
  <si>
    <t xml:space="preserve">₹20,00,000</t>
  </si>
  <si>
    <t xml:space="preserve">  Customer Acquisition Cost — CAC (₹)</t>
  </si>
  <si>
    <t xml:space="preserve">One-time sales cost</t>
  </si>
  <si>
    <t xml:space="preserve">  Implementation Cost (₹)</t>
  </si>
  <si>
    <t xml:space="preserve">5000</t>
  </si>
  <si>
    <t xml:space="preserve">Onboarding &amp; setup</t>
  </si>
  <si>
    <t xml:space="preserve">  Total Acquisition Cost (₹)</t>
  </si>
  <si>
    <t xml:space="preserve">CAC + Implementation</t>
  </si>
  <si>
    <t xml:space="preserve">  Contract Duration (Years)</t>
  </si>
  <si>
    <t xml:space="preserve">Standard SaaS contract</t>
  </si>
  <si>
    <t xml:space="preserve">  Lifetime Value — LTV (₹)</t>
  </si>
  <si>
    <t xml:space="preserve">Revenue × Contract Years</t>
  </si>
  <si>
    <t xml:space="preserve">  LTV / CAC Ratio</t>
  </si>
  <si>
    <t xml:space="preserve">Target: &gt;3x  ✅</t>
  </si>
  <si>
    <t xml:space="preserve">  Payback Period (Months)</t>
  </si>
  <si>
    <t xml:space="preserve">Months to recover CAC</t>
  </si>
  <si>
    <t xml:space="preserve">  STUDENT (END USER)</t>
  </si>
  <si>
    <t xml:space="preserve">  Revenue per Student / Year (₹)</t>
  </si>
  <si>
    <t xml:space="preserve">Platform fee (paid by university)</t>
  </si>
  <si>
    <t xml:space="preserve">  AI Inference Cost per Student (₹)</t>
  </si>
  <si>
    <t xml:space="preserve">180</t>
  </si>
  <si>
    <t xml:space="preserve">₹15/month × 12 months</t>
  </si>
  <si>
    <t xml:space="preserve">  Platform Cost per Student (₹)</t>
  </si>
  <si>
    <t xml:space="preserve">12</t>
  </si>
  <si>
    <t xml:space="preserve">₹1/month allocated hosting</t>
  </si>
  <si>
    <t xml:space="preserve">  Contribution Margin per Student (₹)</t>
  </si>
  <si>
    <t xml:space="preserve">Net after direct costs</t>
  </si>
  <si>
    <t xml:space="preserve">  Contribution Margin % per Student</t>
  </si>
  <si>
    <t xml:space="preserve">% of revenue kept</t>
  </si>
  <si>
    <t xml:space="preserve">  SCALABILITY METRICS</t>
  </si>
  <si>
    <t xml:space="preserve">  Revenue at 10 Universities (₹ Lakh)</t>
  </si>
  <si>
    <t xml:space="preserve">10 × ₹20L</t>
  </si>
  <si>
    <t xml:space="preserve">  Revenue at 50 Universities (₹ Lakh)</t>
  </si>
  <si>
    <t xml:space="preserve">50 × ₹20L</t>
  </si>
  <si>
    <t xml:space="preserve">  Revenue at 100 Universities (₹ Lakh)</t>
  </si>
  <si>
    <t xml:space="preserve">100 × ₹20L</t>
  </si>
  <si>
    <t xml:space="preserve">  Break-Even Universities Needed</t>
  </si>
  <si>
    <t xml:space="preserve">At current burn ₹4.2L/mo</t>
  </si>
  <si>
    <t xml:space="preserve">INVESTOR SUMMARY — PREPZO PRE-SEED</t>
  </si>
  <si>
    <t xml:space="preserve">  THE COMPANY</t>
  </si>
  <si>
    <t xml:space="preserve">    ✦  Name: Prepzo — AI Career Operating System for Universities</t>
  </si>
  <si>
    <t xml:space="preserve">    ✦  Parent: DCodecafe (India)</t>
  </si>
  <si>
    <t xml:space="preserve">    ✦  Founder: Divyanshu Sharma</t>
  </si>
  <si>
    <t xml:space="preserve">    ✦  Stage: Pre-Seed | Pre-Revenue</t>
  </si>
  <si>
    <t xml:space="preserve">    ✦  Founded: 2025 | Location: India</t>
  </si>
  <si>
    <t xml:space="preserve">  THE RAISE</t>
  </si>
  <si>
    <t xml:space="preserve">    ✦  Amount: ₹75 Lakh (~$90,000 USD)</t>
  </si>
  <si>
    <t xml:space="preserve">    ✦  Type: Pre-Seed (SAFE or Equity — negotiable)</t>
  </si>
  <si>
    <t xml:space="preserve">    ✦  Target Investors: Indian Angels / Micro-VCs + US EdTech VCs</t>
  </si>
  <si>
    <t xml:space="preserve">    ✦  Use: Product build (40%) + Sales (24%) + Team (20%) + Marketing (9%) + Ops (7%)</t>
  </si>
  <si>
    <t xml:space="preserve">    ✦  Runway: 18 months | Enough to reach 10 university contracts</t>
  </si>
  <si>
    <t xml:space="preserve">  THE PROBLEM</t>
  </si>
  <si>
    <t xml:space="preserve">    ✦  5 million Indian graduates enter workforce annually</t>
  </si>
  <si>
    <t xml:space="preserve">    ✦  Only ~45% are considered job-ready by employers</t>
  </si>
  <si>
    <t xml:space="preserve">    ✦  70-80% of candidates fail in early interview rounds</t>
  </si>
  <si>
    <t xml:space="preserve">    ✦  Universities have zero data on student readiness</t>
  </si>
  <si>
    <t xml:space="preserve">    ✦  Recruiters must interview 50-100 students to hire just 1-2</t>
  </si>
  <si>
    <t xml:space="preserve">  THE SOLUTION</t>
  </si>
  <si>
    <t xml:space="preserve">    ✦  AI-powered mock interviews tailored to each student's resume &amp; target role</t>
  </si>
  <si>
    <t xml:space="preserve">    ✦  University analytics dashboard — cohort readiness, skill gaps, trends</t>
  </si>
  <si>
    <t xml:space="preserve">    ✦  Personalized improvement roadmap for every student</t>
  </si>
  <si>
    <t xml:space="preserve">    ✦  Recruiter portal — pre-screened, readiness-scored talent pool</t>
  </si>
  <si>
    <t xml:space="preserve">    ✦  SaaS model: ₹1,000/student/year — affordable for any institution</t>
  </si>
  <si>
    <t xml:space="preserve">  MARKET OPPORTUNITY</t>
  </si>
  <si>
    <t xml:space="preserve">    ✦  TAM: 43 Million students enrolled across Indian higher education</t>
  </si>
  <si>
    <t xml:space="preserve">    ✦  42,000+ colleges and 1,100+ universities — target market</t>
  </si>
  <si>
    <t xml:space="preserve">    ✦  Indian EdTech market: $7B (2022) → $29B (2030) — 4.1x growth</t>
  </si>
  <si>
    <t xml:space="preserve">    ✦  University SaaS spend on placements growing at 18% CAGR</t>
  </si>
  <si>
    <t xml:space="preserve">    ✦  No existing solution combines AI interviews + institutional analytics</t>
  </si>
  <si>
    <t xml:space="preserve">  BUSINESS MODEL &amp; PROJECTIONS</t>
  </si>
  <si>
    <t xml:space="preserve">    ✦  Revenue: ₹1,000 per student per year (institutional SaaS)</t>
  </si>
  <si>
    <t xml:space="preserve">    ✦  Y1: ₹20L | Y2: ₹200L | Y3: ₹1,000L | Y5: ₹4,000L</t>
  </si>
  <si>
    <t xml:space="preserve">    ✦  Gross Margin: 60% (Y1) → 78% (Y5) as infra costs scale</t>
  </si>
  <si>
    <t xml:space="preserve">    ✦  LTV/CAC: 80x (university retains for 2+ years at ₹20L/yr vs ₹25K CAC)</t>
  </si>
  <si>
    <t xml:space="preserve">    ✦  Break-even: ~3 universities at current burn rate</t>
  </si>
  <si>
    <t xml:space="preserve">  COMPETITIVE ADVANTAGE</t>
  </si>
  <si>
    <t xml:space="preserve">    ✦  Only solution combining high-fidelity AI + full ecosystem depth</t>
  </si>
  <si>
    <t xml:space="preserve">    ✦  Competitors: HireVue (recruiter-only), PrepInsta (static content), Superset (no AI)</t>
  </si>
  <si>
    <t xml:space="preserve">    ✦  Data flywheel: every interview session improves our AI models</t>
  </si>
  <si>
    <t xml:space="preserve">    ✦  Institutional lock-in: multi-year contracts + deep LMS integration</t>
  </si>
  <si>
    <t xml:space="preserve">    ✦  India-first strategy with clear path to SEA and MENA expansion</t>
  </si>
  <si>
    <t xml:space="preserve">  CONTACT</t>
  </si>
  <si>
    <t xml:space="preserve">    ✦  Email: sharmadivyanshu281@gmail.com</t>
  </si>
  <si>
    <t xml:space="preserve">    ✦  Phone: +91 6378763168</t>
  </si>
  <si>
    <t xml:space="preserve">    ✦  GitHub: github.com/divyanshus020</t>
  </si>
  <si>
    <t xml:space="preserve">    ✦  Website: prepzo.in (coming soon)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</si>
</sst>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₹#,##0"/>
    <numFmt numFmtId="167" formatCode="0.0%"/>
    <numFmt numFmtId="168" formatCode="#,##0.0;\(#,##0.0\);\-"/>
    <numFmt numFmtId="169" formatCode="#,##0.0"/>
    <numFmt numFmtId="170" formatCode="0.0\x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11"/>
      <color rgb="FF7C3AE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1B4B"/>
      <name val="Arial"/>
      <family val="0"/>
      <charset val="1"/>
    </font>
    <font>
      <sz val="10"/>
      <color rgb="FF1E1B4B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1E1B4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9CA3A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59669"/>
      <name val="Arial"/>
      <family val="0"/>
      <charset val="1"/>
    </font>
    <font>
      <i val="true"/>
      <sz val="9"/>
      <color rgb="FFD9770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7C3AED"/>
        <bgColor rgb="FF993366"/>
      </patternFill>
    </fill>
    <fill>
      <patternFill patternType="solid">
        <fgColor rgb="FFEDE9FE"/>
        <bgColor rgb="FFE5E7EB"/>
      </patternFill>
    </fill>
    <fill>
      <patternFill patternType="solid">
        <fgColor rgb="FF1E1B4B"/>
        <bgColor rgb="FF000080"/>
      </patternFill>
    </fill>
    <fill>
      <patternFill patternType="solid">
        <fgColor rgb="FFF8F7FF"/>
        <bgColor rgb="FFFFFFFF"/>
      </patternFill>
    </fill>
    <fill>
      <patternFill patternType="solid">
        <fgColor rgb="FFFFFFFF"/>
        <bgColor rgb="FFF8F7FF"/>
      </patternFill>
    </fill>
    <fill>
      <patternFill patternType="solid">
        <fgColor rgb="FFA78BFA"/>
        <bgColor rgb="FFCC99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/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A78BFA"/>
      <rgbColor rgb="FF7C3AED"/>
      <rgbColor rgb="FFF8F7FF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9F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6B7280"/>
      <rgbColor rgb="FF9CA3AF"/>
      <rgbColor rgb="FF1E1B4B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7" min="3" style="1" width="18"/>
    <col collapsed="false" customWidth="true" hidden="false" outlineLevel="0" max="8" min="8" style="1" width="5"/>
  </cols>
  <sheetData>
    <row r="1" customFormat="false" ht="24.75" hidden="false" customHeight="true" outlineLevel="0" collapsed="false">
      <c r="B1" s="2" t="s">
        <v>0</v>
      </c>
      <c r="C1" s="2"/>
      <c r="D1" s="2"/>
      <c r="E1" s="2"/>
      <c r="F1" s="2"/>
      <c r="G1" s="2"/>
    </row>
    <row r="2" customFormat="false" ht="24.75" hidden="false" customHeight="true" outlineLevel="0" collapsed="false">
      <c r="B2" s="2"/>
      <c r="C2" s="2"/>
      <c r="D2" s="2"/>
      <c r="E2" s="2"/>
      <c r="F2" s="2"/>
      <c r="G2" s="2"/>
    </row>
    <row r="3" customFormat="false" ht="24.75" hidden="false" customHeight="true" outlineLevel="0" collapsed="false">
      <c r="B3" s="2"/>
      <c r="C3" s="2"/>
      <c r="D3" s="2"/>
      <c r="E3" s="2"/>
      <c r="F3" s="2"/>
      <c r="G3" s="2"/>
    </row>
    <row r="4" customFormat="false" ht="21.75" hidden="false" customHeight="true" outlineLevel="0" collapsed="false">
      <c r="B4" s="3" t="s">
        <v>1</v>
      </c>
      <c r="C4" s="3"/>
      <c r="D4" s="3"/>
      <c r="E4" s="3"/>
      <c r="F4" s="3"/>
      <c r="G4" s="3"/>
    </row>
    <row r="5" customFormat="false" ht="12" hidden="false" customHeight="true" outlineLevel="0" collapsed="false"/>
    <row r="6" customFormat="false" ht="19.5" hidden="false" customHeight="true" outlineLevel="0" collapsed="false">
      <c r="B6" s="4" t="s">
        <v>2</v>
      </c>
      <c r="C6" s="4"/>
      <c r="D6" s="4"/>
      <c r="E6" s="4"/>
      <c r="F6" s="4"/>
      <c r="G6" s="4"/>
    </row>
    <row r="7" customFormat="false" ht="15" hidden="false" customHeight="true" outlineLevel="0" collapsed="false"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  <c r="G7" s="5" t="s">
        <v>8</v>
      </c>
    </row>
    <row r="8" customFormat="false" ht="18.75" hidden="false" customHeight="true" outlineLevel="0" collapsed="false">
      <c r="B8" s="6" t="s">
        <v>9</v>
      </c>
      <c r="C8" s="7" t="n">
        <v>1</v>
      </c>
      <c r="D8" s="7" t="n">
        <v>10</v>
      </c>
      <c r="E8" s="7" t="n">
        <v>50</v>
      </c>
      <c r="F8" s="7" t="n">
        <v>100</v>
      </c>
      <c r="G8" s="7" t="n">
        <v>200</v>
      </c>
    </row>
    <row r="9" customFormat="false" ht="18.75" hidden="false" customHeight="true" outlineLevel="0" collapsed="false">
      <c r="B9" s="8" t="s">
        <v>10</v>
      </c>
      <c r="C9" s="9" t="n">
        <v>2000</v>
      </c>
      <c r="D9" s="9" t="n">
        <v>2000</v>
      </c>
      <c r="E9" s="9" t="n">
        <v>2000</v>
      </c>
      <c r="F9" s="9" t="n">
        <v>2000</v>
      </c>
      <c r="G9" s="9" t="n">
        <v>2000</v>
      </c>
    </row>
    <row r="10" customFormat="false" ht="18.75" hidden="false" customHeight="true" outlineLevel="0" collapsed="false">
      <c r="B10" s="6" t="s">
        <v>11</v>
      </c>
      <c r="C10" s="7" t="n">
        <v>2000</v>
      </c>
      <c r="D10" s="7" t="n">
        <v>20000</v>
      </c>
      <c r="E10" s="7" t="n">
        <v>100000</v>
      </c>
      <c r="F10" s="7" t="n">
        <v>200000</v>
      </c>
      <c r="G10" s="7" t="n">
        <v>400000</v>
      </c>
    </row>
    <row r="11" customFormat="false" ht="18.75" hidden="false" customHeight="true" outlineLevel="0" collapsed="false">
      <c r="B11" s="8" t="s">
        <v>12</v>
      </c>
      <c r="C11" s="10" t="n">
        <v>1000</v>
      </c>
      <c r="D11" s="10" t="n">
        <v>1000</v>
      </c>
      <c r="E11" s="10" t="n">
        <v>1000</v>
      </c>
      <c r="F11" s="10" t="n">
        <v>1000</v>
      </c>
      <c r="G11" s="10" t="n">
        <v>1000</v>
      </c>
    </row>
    <row r="12" customFormat="false" ht="18.75" hidden="false" customHeight="true" outlineLevel="0" collapsed="false">
      <c r="B12" s="11" t="s">
        <v>13</v>
      </c>
      <c r="C12" s="12" t="n">
        <v>20</v>
      </c>
      <c r="D12" s="12" t="n">
        <v>200</v>
      </c>
      <c r="E12" s="12" t="n">
        <v>1000</v>
      </c>
      <c r="F12" s="12" t="n">
        <v>2000</v>
      </c>
      <c r="G12" s="12" t="n">
        <v>4000</v>
      </c>
    </row>
    <row r="13" customFormat="false" ht="18.75" hidden="false" customHeight="true" outlineLevel="0" collapsed="false">
      <c r="B13" s="8" t="s">
        <v>14</v>
      </c>
      <c r="C13" s="10" t="s">
        <v>15</v>
      </c>
      <c r="D13" s="10" t="s">
        <v>16</v>
      </c>
      <c r="E13" s="10" t="s">
        <v>17</v>
      </c>
      <c r="F13" s="10" t="s">
        <v>18</v>
      </c>
      <c r="G13" s="10" t="s">
        <v>19</v>
      </c>
    </row>
    <row r="14" customFormat="false" ht="18.75" hidden="false" customHeight="true" outlineLevel="0" collapsed="false">
      <c r="B14" s="6" t="s">
        <v>20</v>
      </c>
      <c r="C14" s="13" t="n">
        <v>4</v>
      </c>
      <c r="D14" s="13" t="n">
        <v>5</v>
      </c>
      <c r="E14" s="13" t="n">
        <v>8</v>
      </c>
      <c r="F14" s="13" t="n">
        <v>10</v>
      </c>
      <c r="G14" s="13" t="n">
        <v>14</v>
      </c>
    </row>
    <row r="15" customFormat="false" ht="18.75" hidden="false" customHeight="true" outlineLevel="0" collapsed="false">
      <c r="B15" s="8" t="s">
        <v>21</v>
      </c>
      <c r="C15" s="10" t="n">
        <v>18</v>
      </c>
      <c r="D15" s="10" t="s">
        <v>22</v>
      </c>
      <c r="E15" s="10" t="s">
        <v>22</v>
      </c>
      <c r="F15" s="10" t="s">
        <v>22</v>
      </c>
      <c r="G15" s="10" t="s">
        <v>22</v>
      </c>
    </row>
    <row r="16" customFormat="false" ht="12" hidden="false" customHeight="true" outlineLevel="0" collapsed="false"/>
    <row r="17" customFormat="false" ht="19.5" hidden="false" customHeight="true" outlineLevel="0" collapsed="false">
      <c r="B17" s="4" t="s">
        <v>23</v>
      </c>
      <c r="C17" s="4"/>
      <c r="D17" s="4"/>
      <c r="E17" s="4"/>
      <c r="F17" s="4"/>
      <c r="G17" s="4"/>
    </row>
    <row r="18" customFormat="false" ht="15" hidden="false" customHeight="true" outlineLevel="0" collapsed="false">
      <c r="B18" s="5" t="s">
        <v>24</v>
      </c>
      <c r="C18" s="5" t="s">
        <v>25</v>
      </c>
      <c r="D18" s="5" t="s">
        <v>26</v>
      </c>
      <c r="E18" s="5" t="s">
        <v>27</v>
      </c>
      <c r="F18" s="5"/>
      <c r="G18" s="5"/>
    </row>
    <row r="19" customFormat="false" ht="19.5" hidden="false" customHeight="true" outlineLevel="0" collapsed="false">
      <c r="B19" s="6" t="s">
        <v>28</v>
      </c>
      <c r="C19" s="14" t="n">
        <v>30</v>
      </c>
      <c r="D19" s="15" t="n">
        <f aca="false">C19/C24</f>
        <v>0.4</v>
      </c>
      <c r="E19" s="16" t="s">
        <v>29</v>
      </c>
      <c r="F19" s="16"/>
      <c r="G19" s="16"/>
    </row>
    <row r="20" customFormat="false" ht="19.5" hidden="false" customHeight="true" outlineLevel="0" collapsed="false">
      <c r="B20" s="8" t="s">
        <v>30</v>
      </c>
      <c r="C20" s="17" t="n">
        <v>18</v>
      </c>
      <c r="D20" s="18" t="n">
        <f aca="false">C20/C24</f>
        <v>0.24</v>
      </c>
      <c r="E20" s="19" t="s">
        <v>31</v>
      </c>
      <c r="F20" s="19"/>
      <c r="G20" s="19"/>
    </row>
    <row r="21" customFormat="false" ht="19.5" hidden="false" customHeight="true" outlineLevel="0" collapsed="false">
      <c r="B21" s="6" t="s">
        <v>32</v>
      </c>
      <c r="C21" s="14" t="n">
        <v>15</v>
      </c>
      <c r="D21" s="15" t="n">
        <f aca="false">C21/C24</f>
        <v>0.2</v>
      </c>
      <c r="E21" s="16" t="s">
        <v>33</v>
      </c>
      <c r="F21" s="16"/>
      <c r="G21" s="16"/>
    </row>
    <row r="22" customFormat="false" ht="19.5" hidden="false" customHeight="true" outlineLevel="0" collapsed="false">
      <c r="B22" s="8" t="s">
        <v>34</v>
      </c>
      <c r="C22" s="17" t="n">
        <v>7</v>
      </c>
      <c r="D22" s="18" t="n">
        <f aca="false">C22/C24</f>
        <v>0.0933333333333333</v>
      </c>
      <c r="E22" s="19" t="s">
        <v>35</v>
      </c>
      <c r="F22" s="19"/>
      <c r="G22" s="19"/>
    </row>
    <row r="23" customFormat="false" ht="19.5" hidden="false" customHeight="true" outlineLevel="0" collapsed="false">
      <c r="B23" s="6" t="s">
        <v>36</v>
      </c>
      <c r="C23" s="14" t="n">
        <v>5</v>
      </c>
      <c r="D23" s="15" t="n">
        <f aca="false">C23/C24</f>
        <v>0.0666666666666667</v>
      </c>
      <c r="E23" s="16" t="s">
        <v>37</v>
      </c>
      <c r="F23" s="16"/>
      <c r="G23" s="16"/>
    </row>
    <row r="24" customFormat="false" ht="19.5" hidden="false" customHeight="true" outlineLevel="0" collapsed="false">
      <c r="B24" s="20" t="s">
        <v>38</v>
      </c>
      <c r="C24" s="21" t="n">
        <v>75</v>
      </c>
      <c r="D24" s="22" t="n">
        <f aca="false">C24/C24</f>
        <v>1</v>
      </c>
      <c r="E24" s="23" t="s">
        <v>39</v>
      </c>
      <c r="F24" s="23"/>
      <c r="G24" s="23"/>
    </row>
    <row r="26" customFormat="false" ht="9.75" hidden="false" customHeight="true" outlineLevel="0" collapsed="false"/>
    <row r="27" customFormat="false" ht="15" hidden="false" customHeight="true" outlineLevel="0" collapsed="false">
      <c r="B27" s="24" t="s">
        <v>40</v>
      </c>
      <c r="C27" s="24"/>
      <c r="D27" s="24"/>
      <c r="E27" s="24"/>
      <c r="F27" s="24"/>
      <c r="G27" s="24"/>
    </row>
  </sheetData>
  <mergeCells count="12">
    <mergeCell ref="B1:G3"/>
    <mergeCell ref="B4:G4"/>
    <mergeCell ref="B6:G6"/>
    <mergeCell ref="B17:G17"/>
    <mergeCell ref="E18:G18"/>
    <mergeCell ref="E19:G19"/>
    <mergeCell ref="E20:G20"/>
    <mergeCell ref="E21:G21"/>
    <mergeCell ref="E22:G22"/>
    <mergeCell ref="E23:G23"/>
    <mergeCell ref="E24:G24"/>
    <mergeCell ref="B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5"/>
    <col collapsed="false" customWidth="true" hidden="false" outlineLevel="0" max="3" min="3" style="1" width="18"/>
    <col collapsed="false" customWidth="true" hidden="false" outlineLevel="0" max="4" min="4" style="1" width="30"/>
    <col collapsed="false" customWidth="true" hidden="false" outlineLevel="0" max="5" min="5" style="1" width="4"/>
  </cols>
  <sheetData>
    <row r="1" customFormat="false" ht="21.75" hidden="false" customHeight="true" outlineLevel="0" collapsed="false">
      <c r="B1" s="25" t="s">
        <v>41</v>
      </c>
      <c r="C1" s="25"/>
      <c r="D1" s="25"/>
    </row>
    <row r="2" customFormat="false" ht="21.75" hidden="false" customHeight="true" outlineLevel="0" collapsed="false">
      <c r="B2" s="25"/>
      <c r="C2" s="25"/>
      <c r="D2" s="25"/>
    </row>
    <row r="4" customFormat="false" ht="18.75" hidden="false" customHeight="true" outlineLevel="0" collapsed="false">
      <c r="B4" s="4" t="s">
        <v>42</v>
      </c>
      <c r="C4" s="4"/>
      <c r="D4" s="4"/>
    </row>
    <row r="5" customFormat="false" ht="18.75" hidden="false" customHeight="true" outlineLevel="0" collapsed="false">
      <c r="B5" s="26" t="s">
        <v>43</v>
      </c>
      <c r="C5" s="27" t="s">
        <v>44</v>
      </c>
      <c r="D5" s="28" t="s">
        <v>45</v>
      </c>
    </row>
    <row r="6" customFormat="false" ht="18.75" hidden="false" customHeight="true" outlineLevel="0" collapsed="false">
      <c r="B6" s="29" t="s">
        <v>46</v>
      </c>
      <c r="C6" s="30" t="s">
        <v>47</v>
      </c>
      <c r="D6" s="31" t="s">
        <v>48</v>
      </c>
    </row>
    <row r="7" customFormat="false" ht="18.75" hidden="false" customHeight="true" outlineLevel="0" collapsed="false">
      <c r="B7" s="26" t="s">
        <v>49</v>
      </c>
      <c r="C7" s="27" t="s">
        <v>50</v>
      </c>
      <c r="D7" s="28" t="s">
        <v>51</v>
      </c>
    </row>
    <row r="8" customFormat="false" ht="18.75" hidden="false" customHeight="true" outlineLevel="0" collapsed="false">
      <c r="B8" s="29" t="s">
        <v>52</v>
      </c>
      <c r="C8" s="30" t="s">
        <v>53</v>
      </c>
      <c r="D8" s="31" t="s">
        <v>54</v>
      </c>
    </row>
    <row r="9" customFormat="false" ht="18.75" hidden="false" customHeight="true" outlineLevel="0" collapsed="false">
      <c r="B9" s="26" t="s">
        <v>55</v>
      </c>
      <c r="C9" s="27" t="s">
        <v>56</v>
      </c>
      <c r="D9" s="28" t="s">
        <v>57</v>
      </c>
    </row>
    <row r="10" customFormat="false" ht="18.75" hidden="false" customHeight="true" outlineLevel="0" collapsed="false">
      <c r="B10" s="29" t="s">
        <v>58</v>
      </c>
      <c r="C10" s="30" t="s">
        <v>59</v>
      </c>
      <c r="D10" s="31" t="s">
        <v>60</v>
      </c>
    </row>
    <row r="11" customFormat="false" ht="18.75" hidden="false" customHeight="true" outlineLevel="0" collapsed="false">
      <c r="B11" s="26" t="s">
        <v>61</v>
      </c>
      <c r="C11" s="27" t="s">
        <v>62</v>
      </c>
      <c r="D11" s="28" t="s">
        <v>63</v>
      </c>
    </row>
    <row r="12" customFormat="false" ht="18.75" hidden="false" customHeight="true" outlineLevel="0" collapsed="false">
      <c r="B12" s="29" t="s">
        <v>64</v>
      </c>
      <c r="C12" s="30" t="s">
        <v>65</v>
      </c>
      <c r="D12" s="31" t="s">
        <v>66</v>
      </c>
    </row>
    <row r="13" customFormat="false" ht="18.75" hidden="false" customHeight="true" outlineLevel="0" collapsed="false">
      <c r="B13" s="26" t="s">
        <v>67</v>
      </c>
      <c r="C13" s="27" t="s">
        <v>68</v>
      </c>
      <c r="D13" s="28" t="s">
        <v>69</v>
      </c>
    </row>
    <row r="14" customFormat="false" ht="18.75" hidden="false" customHeight="true" outlineLevel="0" collapsed="false">
      <c r="B14" s="4" t="s">
        <v>70</v>
      </c>
      <c r="C14" s="4"/>
      <c r="D14" s="4"/>
    </row>
    <row r="15" customFormat="false" ht="18.75" hidden="false" customHeight="true" outlineLevel="0" collapsed="false">
      <c r="B15" s="26" t="s">
        <v>71</v>
      </c>
      <c r="C15" s="27" t="s">
        <v>72</v>
      </c>
      <c r="D15" s="28" t="s">
        <v>73</v>
      </c>
    </row>
    <row r="16" customFormat="false" ht="18.75" hidden="false" customHeight="true" outlineLevel="0" collapsed="false">
      <c r="B16" s="29" t="s">
        <v>74</v>
      </c>
      <c r="C16" s="30" t="s">
        <v>47</v>
      </c>
      <c r="D16" s="31" t="s">
        <v>75</v>
      </c>
    </row>
    <row r="17" customFormat="false" ht="18.75" hidden="false" customHeight="true" outlineLevel="0" collapsed="false">
      <c r="B17" s="26" t="s">
        <v>76</v>
      </c>
      <c r="C17" s="27" t="s">
        <v>77</v>
      </c>
      <c r="D17" s="28" t="s">
        <v>78</v>
      </c>
    </row>
    <row r="18" customFormat="false" ht="18.75" hidden="false" customHeight="true" outlineLevel="0" collapsed="false">
      <c r="B18" s="29" t="s">
        <v>79</v>
      </c>
      <c r="C18" s="30" t="s">
        <v>80</v>
      </c>
      <c r="D18" s="31" t="s">
        <v>81</v>
      </c>
    </row>
    <row r="19" customFormat="false" ht="18.75" hidden="false" customHeight="true" outlineLevel="0" collapsed="false">
      <c r="B19" s="26" t="s">
        <v>82</v>
      </c>
      <c r="C19" s="27" t="s">
        <v>15</v>
      </c>
      <c r="D19" s="28" t="s">
        <v>83</v>
      </c>
    </row>
    <row r="20" customFormat="false" ht="18.75" hidden="false" customHeight="true" outlineLevel="0" collapsed="false">
      <c r="B20" s="29" t="s">
        <v>84</v>
      </c>
      <c r="C20" s="30" t="s">
        <v>17</v>
      </c>
      <c r="D20" s="31" t="s">
        <v>85</v>
      </c>
    </row>
    <row r="21" customFormat="false" ht="18.75" hidden="false" customHeight="true" outlineLevel="0" collapsed="false">
      <c r="B21" s="26" t="s">
        <v>86</v>
      </c>
      <c r="C21" s="27" t="s">
        <v>19</v>
      </c>
      <c r="D21" s="28" t="s">
        <v>87</v>
      </c>
    </row>
    <row r="22" customFormat="false" ht="18.75" hidden="false" customHeight="true" outlineLevel="0" collapsed="false">
      <c r="B22" s="4" t="s">
        <v>88</v>
      </c>
      <c r="C22" s="4"/>
      <c r="D22" s="4"/>
    </row>
    <row r="23" customFormat="false" ht="18.75" hidden="false" customHeight="true" outlineLevel="0" collapsed="false">
      <c r="B23" s="26" t="s">
        <v>89</v>
      </c>
      <c r="C23" s="27" t="s">
        <v>90</v>
      </c>
      <c r="D23" s="28" t="s">
        <v>91</v>
      </c>
    </row>
    <row r="24" customFormat="false" ht="18.75" hidden="false" customHeight="true" outlineLevel="0" collapsed="false">
      <c r="B24" s="29" t="s">
        <v>92</v>
      </c>
      <c r="C24" s="30" t="s">
        <v>93</v>
      </c>
      <c r="D24" s="31" t="s">
        <v>94</v>
      </c>
    </row>
    <row r="25" customFormat="false" ht="18.75" hidden="false" customHeight="true" outlineLevel="0" collapsed="false">
      <c r="B25" s="26" t="s">
        <v>95</v>
      </c>
      <c r="C25" s="27" t="s">
        <v>96</v>
      </c>
      <c r="D25" s="28" t="s">
        <v>97</v>
      </c>
    </row>
    <row r="26" customFormat="false" ht="18.75" hidden="false" customHeight="true" outlineLevel="0" collapsed="false">
      <c r="B26" s="29" t="s">
        <v>98</v>
      </c>
      <c r="C26" s="30" t="s">
        <v>99</v>
      </c>
      <c r="D26" s="31" t="s">
        <v>100</v>
      </c>
    </row>
    <row r="27" customFormat="false" ht="18.75" hidden="false" customHeight="true" outlineLevel="0" collapsed="false">
      <c r="B27" s="26" t="s">
        <v>101</v>
      </c>
      <c r="C27" s="27" t="s">
        <v>102</v>
      </c>
      <c r="D27" s="28" t="s">
        <v>103</v>
      </c>
    </row>
    <row r="28" customFormat="false" ht="18.75" hidden="false" customHeight="true" outlineLevel="0" collapsed="false">
      <c r="B28" s="29" t="s">
        <v>104</v>
      </c>
      <c r="C28" s="30" t="s">
        <v>105</v>
      </c>
      <c r="D28" s="31" t="s">
        <v>106</v>
      </c>
    </row>
    <row r="29" customFormat="false" ht="18.75" hidden="false" customHeight="true" outlineLevel="0" collapsed="false">
      <c r="B29" s="26" t="s">
        <v>107</v>
      </c>
      <c r="C29" s="27" t="s">
        <v>108</v>
      </c>
      <c r="D29" s="28" t="s">
        <v>109</v>
      </c>
    </row>
  </sheetData>
  <mergeCells count="4">
    <mergeCell ref="B1:D2"/>
    <mergeCell ref="B4:D4"/>
    <mergeCell ref="B14:D14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7" min="3" style="1" width="16"/>
    <col collapsed="false" customWidth="true" hidden="false" outlineLevel="0" max="8" min="8" style="1" width="4"/>
  </cols>
  <sheetData>
    <row r="1" customFormat="false" ht="21.75" hidden="false" customHeight="true" outlineLevel="0" collapsed="false">
      <c r="B1" s="32" t="s">
        <v>110</v>
      </c>
      <c r="C1" s="32"/>
      <c r="D1" s="32"/>
      <c r="E1" s="32"/>
      <c r="F1" s="32"/>
      <c r="G1" s="32"/>
    </row>
    <row r="2" customFormat="false" ht="21.75" hidden="false" customHeight="true" outlineLevel="0" collapsed="false">
      <c r="B2" s="32"/>
      <c r="C2" s="32"/>
      <c r="D2" s="32"/>
      <c r="E2" s="32"/>
      <c r="F2" s="32"/>
      <c r="G2" s="32"/>
    </row>
    <row r="3" customFormat="false" ht="27.75" hidden="false" customHeight="true" outlineLevel="0" collapsed="false">
      <c r="B3" s="33" t="s">
        <v>111</v>
      </c>
      <c r="C3" s="34" t="s">
        <v>112</v>
      </c>
      <c r="D3" s="34" t="s">
        <v>113</v>
      </c>
      <c r="E3" s="34" t="s">
        <v>114</v>
      </c>
      <c r="F3" s="34" t="s">
        <v>115</v>
      </c>
      <c r="G3" s="34" t="s">
        <v>116</v>
      </c>
    </row>
    <row r="4" customFormat="false" ht="19.5" hidden="false" customHeight="true" outlineLevel="0" collapsed="false">
      <c r="B4" s="20" t="s">
        <v>117</v>
      </c>
      <c r="C4" s="20"/>
      <c r="D4" s="20"/>
      <c r="E4" s="20"/>
      <c r="F4" s="20"/>
      <c r="G4" s="20"/>
    </row>
    <row r="5" customFormat="false" ht="19.5" hidden="false" customHeight="true" outlineLevel="0" collapsed="false">
      <c r="B5" s="6" t="s">
        <v>118</v>
      </c>
      <c r="C5" s="35" t="n">
        <v>20</v>
      </c>
      <c r="D5" s="35" t="n">
        <v>200</v>
      </c>
      <c r="E5" s="35" t="n">
        <v>1000</v>
      </c>
      <c r="F5" s="35" t="n">
        <v>2000</v>
      </c>
      <c r="G5" s="35" t="n">
        <v>4000</v>
      </c>
    </row>
    <row r="6" customFormat="false" ht="19.5" hidden="false" customHeight="true" outlineLevel="0" collapsed="false">
      <c r="B6" s="36" t="s">
        <v>119</v>
      </c>
      <c r="C6" s="35" t="n">
        <v>0</v>
      </c>
      <c r="D6" s="35" t="n">
        <v>10</v>
      </c>
      <c r="E6" s="35" t="n">
        <v>60</v>
      </c>
      <c r="F6" s="35" t="n">
        <v>150</v>
      </c>
      <c r="G6" s="35" t="n">
        <v>350</v>
      </c>
    </row>
    <row r="7" customFormat="false" ht="19.5" hidden="false" customHeight="true" outlineLevel="0" collapsed="false">
      <c r="B7" s="36" t="s">
        <v>120</v>
      </c>
      <c r="C7" s="35" t="n">
        <v>0</v>
      </c>
      <c r="D7" s="35" t="n">
        <v>5</v>
      </c>
      <c r="E7" s="35" t="n">
        <v>30</v>
      </c>
      <c r="F7" s="35" t="n">
        <v>80</v>
      </c>
      <c r="G7" s="35" t="n">
        <v>200</v>
      </c>
    </row>
    <row r="8" customFormat="false" ht="19.5" hidden="false" customHeight="true" outlineLevel="0" collapsed="false">
      <c r="B8" s="11" t="s">
        <v>121</v>
      </c>
      <c r="C8" s="37" t="n">
        <f aca="false">SUM(C5:C7)</f>
        <v>20</v>
      </c>
      <c r="D8" s="37" t="n">
        <f aca="false">SUM(D5:D7)</f>
        <v>215</v>
      </c>
      <c r="E8" s="37" t="n">
        <f aca="false">SUM(E5:E7)</f>
        <v>1090</v>
      </c>
      <c r="F8" s="37" t="n">
        <f aca="false">SUM(F5:F7)</f>
        <v>2230</v>
      </c>
      <c r="G8" s="37" t="n">
        <f aca="false">SUM(G5:G7)</f>
        <v>4550</v>
      </c>
    </row>
    <row r="9" customFormat="false" ht="7.5" hidden="false" customHeight="true" outlineLevel="0" collapsed="false"/>
    <row r="10" customFormat="false" ht="19.5" hidden="false" customHeight="true" outlineLevel="0" collapsed="false">
      <c r="B10" s="20" t="s">
        <v>122</v>
      </c>
      <c r="C10" s="20"/>
      <c r="D10" s="20"/>
      <c r="E10" s="20"/>
      <c r="F10" s="20"/>
      <c r="G10" s="20"/>
    </row>
    <row r="11" customFormat="false" ht="19.5" hidden="false" customHeight="true" outlineLevel="0" collapsed="false">
      <c r="B11" s="36" t="s">
        <v>123</v>
      </c>
      <c r="C11" s="35" t="n">
        <v>5</v>
      </c>
      <c r="D11" s="35" t="n">
        <v>30</v>
      </c>
      <c r="E11" s="35" t="n">
        <v>130</v>
      </c>
      <c r="F11" s="35" t="n">
        <v>240</v>
      </c>
      <c r="G11" s="35" t="n">
        <v>440</v>
      </c>
    </row>
    <row r="12" customFormat="false" ht="19.5" hidden="false" customHeight="true" outlineLevel="0" collapsed="false">
      <c r="B12" s="36" t="s">
        <v>124</v>
      </c>
      <c r="C12" s="35" t="n">
        <v>3</v>
      </c>
      <c r="D12" s="35" t="n">
        <v>15</v>
      </c>
      <c r="E12" s="35" t="n">
        <v>55</v>
      </c>
      <c r="F12" s="35" t="n">
        <v>100</v>
      </c>
      <c r="G12" s="35" t="n">
        <v>170</v>
      </c>
    </row>
    <row r="13" customFormat="false" ht="19.5" hidden="false" customHeight="true" outlineLevel="0" collapsed="false">
      <c r="B13" s="38" t="s">
        <v>125</v>
      </c>
      <c r="C13" s="39" t="n">
        <f aca="false">SUM(C11:C12)</f>
        <v>8</v>
      </c>
      <c r="D13" s="39" t="n">
        <f aca="false">SUM(D11:D12)</f>
        <v>45</v>
      </c>
      <c r="E13" s="39" t="n">
        <f aca="false">SUM(E11:E12)</f>
        <v>185</v>
      </c>
      <c r="F13" s="39" t="n">
        <f aca="false">SUM(F11:F12)</f>
        <v>340</v>
      </c>
      <c r="G13" s="39" t="n">
        <f aca="false">SUM(G11:G12)</f>
        <v>610</v>
      </c>
    </row>
    <row r="14" customFormat="false" ht="19.5" hidden="false" customHeight="true" outlineLevel="0" collapsed="false">
      <c r="B14" s="11" t="s">
        <v>126</v>
      </c>
      <c r="C14" s="37" t="n">
        <f aca="false">C8-C13</f>
        <v>12</v>
      </c>
      <c r="D14" s="37" t="n">
        <f aca="false">D8-D13</f>
        <v>170</v>
      </c>
      <c r="E14" s="37" t="n">
        <f aca="false">E8-E13</f>
        <v>905</v>
      </c>
      <c r="F14" s="37" t="n">
        <f aca="false">F8-F13</f>
        <v>1890</v>
      </c>
      <c r="G14" s="37" t="n">
        <f aca="false">G8-G13</f>
        <v>3940</v>
      </c>
    </row>
    <row r="15" customFormat="false" ht="19.5" hidden="false" customHeight="true" outlineLevel="0" collapsed="false">
      <c r="B15" s="40" t="s">
        <v>127</v>
      </c>
      <c r="C15" s="40" t="n">
        <f aca="false">IFERROR(C14/C8,0)</f>
        <v>0.6</v>
      </c>
      <c r="D15" s="40" t="n">
        <f aca="false">IFERROR(D14/D8,0)</f>
        <v>0.790697674418605</v>
      </c>
      <c r="E15" s="40" t="n">
        <f aca="false">IFERROR(E14/E8,0)</f>
        <v>0.830275229357798</v>
      </c>
      <c r="F15" s="40" t="n">
        <f aca="false">IFERROR(F14/F8,0)</f>
        <v>0.847533632286996</v>
      </c>
      <c r="G15" s="40" t="n">
        <f aca="false">IFERROR(G14/G8,0)</f>
        <v>0.865934065934066</v>
      </c>
    </row>
    <row r="16" customFormat="false" ht="7.5" hidden="false" customHeight="true" outlineLevel="0" collapsed="false"/>
    <row r="17" customFormat="false" ht="19.5" hidden="false" customHeight="true" outlineLevel="0" collapsed="false">
      <c r="B17" s="20" t="s">
        <v>128</v>
      </c>
      <c r="C17" s="20"/>
      <c r="D17" s="20"/>
      <c r="E17" s="20"/>
      <c r="F17" s="20"/>
      <c r="G17" s="20"/>
    </row>
    <row r="18" customFormat="false" ht="19.5" hidden="false" customHeight="true" outlineLevel="0" collapsed="false">
      <c r="B18" s="36" t="s">
        <v>129</v>
      </c>
      <c r="C18" s="35" t="n">
        <v>18</v>
      </c>
      <c r="D18" s="35" t="n">
        <v>28</v>
      </c>
      <c r="E18" s="35" t="n">
        <v>50</v>
      </c>
      <c r="F18" s="35" t="n">
        <v>80</v>
      </c>
      <c r="G18" s="35" t="n">
        <v>130</v>
      </c>
    </row>
    <row r="19" customFormat="false" ht="19.5" hidden="false" customHeight="true" outlineLevel="0" collapsed="false">
      <c r="B19" s="36" t="s">
        <v>130</v>
      </c>
      <c r="C19" s="35" t="n">
        <v>10</v>
      </c>
      <c r="D19" s="35" t="n">
        <v>18</v>
      </c>
      <c r="E19" s="35" t="n">
        <v>40</v>
      </c>
      <c r="F19" s="35" t="n">
        <v>65</v>
      </c>
      <c r="G19" s="35" t="n">
        <v>100</v>
      </c>
    </row>
    <row r="20" customFormat="false" ht="19.5" hidden="false" customHeight="true" outlineLevel="0" collapsed="false">
      <c r="B20" s="36" t="s">
        <v>131</v>
      </c>
      <c r="C20" s="35" t="n">
        <v>12</v>
      </c>
      <c r="D20" s="35" t="n">
        <v>20</v>
      </c>
      <c r="E20" s="35" t="n">
        <v>35</v>
      </c>
      <c r="F20" s="35" t="n">
        <v>55</v>
      </c>
      <c r="G20" s="35" t="n">
        <v>90</v>
      </c>
    </row>
    <row r="21" customFormat="false" ht="19.5" hidden="false" customHeight="true" outlineLevel="0" collapsed="false">
      <c r="B21" s="36" t="s">
        <v>132</v>
      </c>
      <c r="C21" s="35" t="n">
        <v>5</v>
      </c>
      <c r="D21" s="35" t="n">
        <v>9</v>
      </c>
      <c r="E21" s="35" t="n">
        <v>18</v>
      </c>
      <c r="F21" s="35" t="n">
        <v>30</v>
      </c>
      <c r="G21" s="35" t="n">
        <v>50</v>
      </c>
    </row>
    <row r="22" customFormat="false" ht="19.5" hidden="false" customHeight="true" outlineLevel="0" collapsed="false">
      <c r="B22" s="36" t="s">
        <v>133</v>
      </c>
      <c r="C22" s="35" t="n">
        <v>4</v>
      </c>
      <c r="D22" s="35" t="n">
        <v>6</v>
      </c>
      <c r="E22" s="35" t="n">
        <v>10</v>
      </c>
      <c r="F22" s="35" t="n">
        <v>15</v>
      </c>
      <c r="G22" s="35" t="n">
        <v>25</v>
      </c>
    </row>
    <row r="23" customFormat="false" ht="19.5" hidden="false" customHeight="true" outlineLevel="0" collapsed="false">
      <c r="B23" s="38" t="s">
        <v>134</v>
      </c>
      <c r="C23" s="39" t="n">
        <f aca="false">SUM(C18:C22)</f>
        <v>49</v>
      </c>
      <c r="D23" s="39" t="n">
        <f aca="false">SUM(D18:D22)</f>
        <v>81</v>
      </c>
      <c r="E23" s="39" t="n">
        <f aca="false">SUM(E18:E22)</f>
        <v>153</v>
      </c>
      <c r="F23" s="39" t="n">
        <f aca="false">SUM(F18:F22)</f>
        <v>245</v>
      </c>
      <c r="G23" s="39" t="n">
        <f aca="false">SUM(G18:G22)</f>
        <v>395</v>
      </c>
    </row>
    <row r="24" customFormat="false" ht="7.5" hidden="false" customHeight="true" outlineLevel="0" collapsed="false"/>
    <row r="25" customFormat="false" ht="19.5" hidden="false" customHeight="true" outlineLevel="0" collapsed="false">
      <c r="B25" s="41" t="s">
        <v>135</v>
      </c>
      <c r="C25" s="42" t="n">
        <f aca="false">C14-C23</f>
        <v>-37</v>
      </c>
      <c r="D25" s="42" t="n">
        <f aca="false">D14-D23</f>
        <v>89</v>
      </c>
      <c r="E25" s="42" t="n">
        <f aca="false">E14-E23</f>
        <v>752</v>
      </c>
      <c r="F25" s="42" t="n">
        <f aca="false">F14-F23</f>
        <v>1645</v>
      </c>
      <c r="G25" s="42" t="n">
        <f aca="false">G14-G23</f>
        <v>3545</v>
      </c>
    </row>
    <row r="26" customFormat="false" ht="19.5" hidden="false" customHeight="true" outlineLevel="0" collapsed="false">
      <c r="B26" s="40" t="s">
        <v>136</v>
      </c>
      <c r="C26" s="40" t="n">
        <f aca="false">IFERROR(C25/C8,0)</f>
        <v>-1.85</v>
      </c>
      <c r="D26" s="40" t="n">
        <f aca="false">IFERROR(D25/D8,0)</f>
        <v>0.413953488372093</v>
      </c>
      <c r="E26" s="40" t="n">
        <f aca="false">IFERROR(E25/E8,0)</f>
        <v>0.689908256880734</v>
      </c>
      <c r="F26" s="40" t="n">
        <f aca="false">IFERROR(F25/F8,0)</f>
        <v>0.737668161434978</v>
      </c>
      <c r="G26" s="40" t="n">
        <f aca="false">IFERROR(G25/G8,0)</f>
        <v>0.779120879120879</v>
      </c>
    </row>
    <row r="27" customFormat="false" ht="7.5" hidden="false" customHeight="true" outlineLevel="0" collapsed="false"/>
    <row r="28" customFormat="false" ht="19.5" hidden="false" customHeight="true" outlineLevel="0" collapsed="false">
      <c r="B28" s="20" t="s">
        <v>137</v>
      </c>
      <c r="C28" s="20"/>
      <c r="D28" s="20"/>
      <c r="E28" s="20"/>
      <c r="F28" s="20"/>
      <c r="G28" s="20"/>
    </row>
    <row r="29" customFormat="false" ht="19.5" hidden="false" customHeight="true" outlineLevel="0" collapsed="false">
      <c r="B29" s="36" t="s">
        <v>138</v>
      </c>
      <c r="C29" s="35" t="n">
        <v>75</v>
      </c>
      <c r="D29" s="35" t="n">
        <f aca="false">C29+C25+C30</f>
        <v>38</v>
      </c>
      <c r="E29" s="35" t="n">
        <f aca="false">D29+D25+D30</f>
        <v>127</v>
      </c>
      <c r="F29" s="35" t="n">
        <f aca="false">E29+E25+E30</f>
        <v>879</v>
      </c>
      <c r="G29" s="35" t="n">
        <f aca="false">F29+F25+F30</f>
        <v>2524</v>
      </c>
    </row>
    <row r="30" customFormat="false" ht="19.5" hidden="false" customHeight="true" outlineLevel="0" collapsed="false">
      <c r="B30" s="36" t="s">
        <v>139</v>
      </c>
      <c r="C30" s="35" t="n">
        <v>0</v>
      </c>
      <c r="D30" s="35" t="n">
        <v>0</v>
      </c>
      <c r="E30" s="35" t="n">
        <v>0</v>
      </c>
      <c r="F30" s="35" t="n">
        <v>0</v>
      </c>
      <c r="G30" s="35" t="n">
        <v>0</v>
      </c>
    </row>
    <row r="31" customFormat="false" ht="19.5" hidden="false" customHeight="true" outlineLevel="0" collapsed="false">
      <c r="B31" s="11" t="s">
        <v>140</v>
      </c>
      <c r="C31" s="37" t="n">
        <f aca="false">C29+C25</f>
        <v>38</v>
      </c>
      <c r="D31" s="37" t="n">
        <f aca="false">D29+D25</f>
        <v>127</v>
      </c>
      <c r="E31" s="37" t="n">
        <f aca="false">E29+E25</f>
        <v>879</v>
      </c>
      <c r="F31" s="37" t="n">
        <f aca="false">F29+F25</f>
        <v>2524</v>
      </c>
      <c r="G31" s="37" t="n">
        <f aca="false">G29+G25</f>
        <v>6069</v>
      </c>
    </row>
    <row r="32" customFormat="false" ht="19.5" hidden="false" customHeight="true" outlineLevel="0" collapsed="false">
      <c r="B32" s="36" t="s">
        <v>141</v>
      </c>
      <c r="C32" s="35" t="n">
        <f aca="false">IFERROR(C31/(ABS(C25)/12),0)</f>
        <v>12.3243243243243</v>
      </c>
      <c r="D32" s="35" t="n">
        <f aca="false">IFERROR(D31/(ABS(D25)/12),0)</f>
        <v>17.123595505618</v>
      </c>
      <c r="E32" s="35" t="n">
        <f aca="false">IFERROR(E31/(ABS(E25)/12),0)</f>
        <v>14.0265957446809</v>
      </c>
      <c r="F32" s="35" t="n">
        <f aca="false">IFERROR(F31/(ABS(F25)/12),0)</f>
        <v>18.4121580547112</v>
      </c>
      <c r="G32" s="35" t="n">
        <f aca="false">IFERROR(G31/(ABS(G25)/12),0)</f>
        <v>20.5438645980254</v>
      </c>
    </row>
  </sheetData>
  <mergeCells count="5">
    <mergeCell ref="B1:G2"/>
    <mergeCell ref="B4:G4"/>
    <mergeCell ref="B10:G10"/>
    <mergeCell ref="B17:G17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19" min="3" style="1" width="16"/>
    <col collapsed="false" customWidth="true" hidden="false" outlineLevel="0" max="20" min="20" style="1" width="4"/>
  </cols>
  <sheetData>
    <row r="1" customFormat="false" ht="21.75" hidden="false" customHeight="true" outlineLevel="0" collapsed="false">
      <c r="B1" s="43" t="s">
        <v>142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customFormat="false" ht="21.75" hidden="false" customHeight="true" outlineLevel="0" collapsed="false"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</row>
    <row r="3" customFormat="false" ht="21.75" hidden="false" customHeight="true" outlineLevel="0" collapsed="false">
      <c r="B3" s="44" t="s">
        <v>24</v>
      </c>
      <c r="C3" s="45" t="s">
        <v>143</v>
      </c>
      <c r="D3" s="45" t="s">
        <v>144</v>
      </c>
      <c r="E3" s="45" t="s">
        <v>145</v>
      </c>
      <c r="F3" s="45" t="s">
        <v>146</v>
      </c>
      <c r="G3" s="45" t="s">
        <v>147</v>
      </c>
      <c r="H3" s="45" t="s">
        <v>148</v>
      </c>
      <c r="I3" s="46" t="s">
        <v>149</v>
      </c>
      <c r="J3" s="46" t="s">
        <v>150</v>
      </c>
      <c r="K3" s="46" t="s">
        <v>151</v>
      </c>
      <c r="L3" s="46" t="s">
        <v>152</v>
      </c>
      <c r="M3" s="46" t="s">
        <v>153</v>
      </c>
      <c r="N3" s="46" t="s">
        <v>154</v>
      </c>
      <c r="O3" s="47" t="s">
        <v>155</v>
      </c>
      <c r="P3" s="47" t="s">
        <v>156</v>
      </c>
      <c r="Q3" s="47" t="s">
        <v>157</v>
      </c>
      <c r="R3" s="47" t="s">
        <v>158</v>
      </c>
      <c r="S3" s="47" t="s">
        <v>159</v>
      </c>
      <c r="T3" s="47" t="s">
        <v>160</v>
      </c>
    </row>
    <row r="4" customFormat="false" ht="18.75" hidden="false" customHeight="true" outlineLevel="0" collapsed="false">
      <c r="B4" s="48" t="s">
        <v>161</v>
      </c>
      <c r="C4" s="49" t="n">
        <v>0.8</v>
      </c>
      <c r="D4" s="49" t="n">
        <v>0.8</v>
      </c>
      <c r="E4" s="49" t="n">
        <v>1</v>
      </c>
      <c r="F4" s="49" t="n">
        <v>1</v>
      </c>
      <c r="G4" s="49" t="n">
        <v>1.2</v>
      </c>
      <c r="H4" s="49" t="n">
        <v>1.2</v>
      </c>
      <c r="I4" s="49" t="n">
        <v>1.5</v>
      </c>
      <c r="J4" s="49" t="n">
        <v>1.5</v>
      </c>
      <c r="K4" s="49" t="n">
        <v>1.8</v>
      </c>
      <c r="L4" s="49" t="n">
        <v>1.8</v>
      </c>
      <c r="M4" s="49" t="n">
        <v>2</v>
      </c>
      <c r="N4" s="49" t="n">
        <v>2</v>
      </c>
      <c r="O4" s="49" t="n">
        <v>2.2</v>
      </c>
      <c r="P4" s="49" t="n">
        <v>2.2</v>
      </c>
      <c r="Q4" s="49" t="n">
        <v>2.5</v>
      </c>
      <c r="R4" s="49" t="n">
        <v>2.5</v>
      </c>
      <c r="S4" s="49" t="n">
        <v>2.8</v>
      </c>
      <c r="T4" s="49" t="n">
        <v>2.8</v>
      </c>
    </row>
    <row r="5" customFormat="false" ht="18.75" hidden="false" customHeight="true" outlineLevel="0" collapsed="false">
      <c r="B5" s="50" t="s">
        <v>162</v>
      </c>
      <c r="C5" s="51" t="n">
        <v>0.5</v>
      </c>
      <c r="D5" s="51" t="n">
        <v>0.5</v>
      </c>
      <c r="E5" s="51" t="n">
        <v>0.8</v>
      </c>
      <c r="F5" s="51" t="n">
        <v>0.8</v>
      </c>
      <c r="G5" s="51" t="n">
        <v>1.2</v>
      </c>
      <c r="H5" s="51" t="n">
        <v>1.2</v>
      </c>
      <c r="I5" s="51" t="n">
        <v>1.5</v>
      </c>
      <c r="J5" s="51" t="n">
        <v>1.5</v>
      </c>
      <c r="K5" s="51" t="n">
        <v>1.8</v>
      </c>
      <c r="L5" s="51" t="n">
        <v>1.8</v>
      </c>
      <c r="M5" s="51" t="n">
        <v>2</v>
      </c>
      <c r="N5" s="51" t="n">
        <v>2</v>
      </c>
      <c r="O5" s="51" t="n">
        <v>2.5</v>
      </c>
      <c r="P5" s="51" t="n">
        <v>2.5</v>
      </c>
      <c r="Q5" s="51" t="n">
        <v>2.8</v>
      </c>
      <c r="R5" s="51" t="n">
        <v>2.8</v>
      </c>
      <c r="S5" s="51" t="n">
        <v>3</v>
      </c>
      <c r="T5" s="51" t="n">
        <v>3</v>
      </c>
    </row>
    <row r="6" customFormat="false" ht="18.75" hidden="false" customHeight="true" outlineLevel="0" collapsed="false">
      <c r="B6" s="48" t="s">
        <v>163</v>
      </c>
      <c r="C6" s="49" t="n">
        <v>0.3</v>
      </c>
      <c r="D6" s="49" t="n">
        <v>0.5</v>
      </c>
      <c r="E6" s="49" t="n">
        <v>0.5</v>
      </c>
      <c r="F6" s="49" t="n">
        <v>0.8</v>
      </c>
      <c r="G6" s="49" t="n">
        <v>0.8</v>
      </c>
      <c r="H6" s="49" t="n">
        <v>1</v>
      </c>
      <c r="I6" s="49" t="n">
        <v>1</v>
      </c>
      <c r="J6" s="49" t="n">
        <v>1.2</v>
      </c>
      <c r="K6" s="49" t="n">
        <v>1.2</v>
      </c>
      <c r="L6" s="49" t="n">
        <v>1.5</v>
      </c>
      <c r="M6" s="49" t="n">
        <v>1.5</v>
      </c>
      <c r="N6" s="49" t="n">
        <v>1.5</v>
      </c>
      <c r="O6" s="49" t="n">
        <v>1.8</v>
      </c>
      <c r="P6" s="49" t="n">
        <v>1.8</v>
      </c>
      <c r="Q6" s="49" t="n">
        <v>2</v>
      </c>
      <c r="R6" s="49" t="n">
        <v>2</v>
      </c>
      <c r="S6" s="49" t="n">
        <v>2.2</v>
      </c>
      <c r="T6" s="49" t="n">
        <v>2.2</v>
      </c>
    </row>
    <row r="7" customFormat="false" ht="18.75" hidden="false" customHeight="true" outlineLevel="0" collapsed="false">
      <c r="B7" s="50" t="s">
        <v>34</v>
      </c>
      <c r="C7" s="51" t="n">
        <v>0.2</v>
      </c>
      <c r="D7" s="51" t="n">
        <v>0.2</v>
      </c>
      <c r="E7" s="51" t="n">
        <v>0.3</v>
      </c>
      <c r="F7" s="51" t="n">
        <v>0.3</v>
      </c>
      <c r="G7" s="51" t="n">
        <v>0.4</v>
      </c>
      <c r="H7" s="51" t="n">
        <v>0.4</v>
      </c>
      <c r="I7" s="51" t="n">
        <v>0.5</v>
      </c>
      <c r="J7" s="51" t="n">
        <v>0.5</v>
      </c>
      <c r="K7" s="51" t="n">
        <v>0.5</v>
      </c>
      <c r="L7" s="51" t="n">
        <v>0.6</v>
      </c>
      <c r="M7" s="51" t="n">
        <v>0.6</v>
      </c>
      <c r="N7" s="51" t="n">
        <v>0.6</v>
      </c>
      <c r="O7" s="51" t="n">
        <v>0.7</v>
      </c>
      <c r="P7" s="51" t="n">
        <v>0.7</v>
      </c>
      <c r="Q7" s="51" t="n">
        <v>0.8</v>
      </c>
      <c r="R7" s="51" t="n">
        <v>0.8</v>
      </c>
      <c r="S7" s="51" t="n">
        <v>0.8</v>
      </c>
      <c r="T7" s="51" t="n">
        <v>0.8</v>
      </c>
    </row>
    <row r="8" customFormat="false" ht="18.75" hidden="false" customHeight="true" outlineLevel="0" collapsed="false">
      <c r="B8" s="48" t="s">
        <v>164</v>
      </c>
      <c r="C8" s="49" t="n">
        <v>0.3</v>
      </c>
      <c r="D8" s="49" t="n">
        <v>0.2</v>
      </c>
      <c r="E8" s="49" t="n">
        <v>0.2</v>
      </c>
      <c r="F8" s="49" t="n">
        <v>0.2</v>
      </c>
      <c r="G8" s="49" t="n">
        <v>0.2</v>
      </c>
      <c r="H8" s="49" t="n">
        <v>0.2</v>
      </c>
      <c r="I8" s="49" t="n">
        <v>0.2</v>
      </c>
      <c r="J8" s="49" t="n">
        <v>0.2</v>
      </c>
      <c r="K8" s="49" t="n">
        <v>0.2</v>
      </c>
      <c r="L8" s="49" t="n">
        <v>0.2</v>
      </c>
      <c r="M8" s="49" t="n">
        <v>0.2</v>
      </c>
      <c r="N8" s="49" t="n">
        <v>0.2</v>
      </c>
      <c r="O8" s="49" t="n">
        <v>0.2</v>
      </c>
      <c r="P8" s="49" t="n">
        <v>0.2</v>
      </c>
      <c r="Q8" s="49" t="n">
        <v>0.2</v>
      </c>
      <c r="R8" s="49" t="n">
        <v>0.2</v>
      </c>
      <c r="S8" s="49" t="n">
        <v>0.2</v>
      </c>
      <c r="T8" s="49" t="n">
        <v>0.2</v>
      </c>
    </row>
    <row r="9" customFormat="false" ht="21.75" hidden="false" customHeight="true" outlineLevel="0" collapsed="false">
      <c r="B9" s="44" t="s">
        <v>165</v>
      </c>
      <c r="C9" s="52" t="n">
        <f aca="false">SUM(C4:C8)</f>
        <v>2.1</v>
      </c>
      <c r="D9" s="52" t="n">
        <f aca="false">SUM(D4:D8)</f>
        <v>2.2</v>
      </c>
      <c r="E9" s="52" t="n">
        <f aca="false">SUM(E4:E8)</f>
        <v>2.8</v>
      </c>
      <c r="F9" s="52" t="n">
        <f aca="false">SUM(F4:F8)</f>
        <v>3.1</v>
      </c>
      <c r="G9" s="52" t="n">
        <f aca="false">SUM(G4:G8)</f>
        <v>3.8</v>
      </c>
      <c r="H9" s="52" t="n">
        <f aca="false">SUM(H4:H8)</f>
        <v>4</v>
      </c>
      <c r="I9" s="52" t="n">
        <f aca="false">SUM(I4:I8)</f>
        <v>4.7</v>
      </c>
      <c r="J9" s="52" t="n">
        <f aca="false">SUM(J4:J8)</f>
        <v>4.9</v>
      </c>
      <c r="K9" s="52" t="n">
        <f aca="false">SUM(K4:K8)</f>
        <v>5.5</v>
      </c>
      <c r="L9" s="52" t="n">
        <f aca="false">SUM(L4:L8)</f>
        <v>5.9</v>
      </c>
      <c r="M9" s="52" t="n">
        <f aca="false">SUM(M4:M8)</f>
        <v>6.3</v>
      </c>
      <c r="N9" s="52" t="n">
        <f aca="false">SUM(N4:N8)</f>
        <v>6.3</v>
      </c>
      <c r="O9" s="52" t="n">
        <f aca="false">SUM(O4:O8)</f>
        <v>7.4</v>
      </c>
      <c r="P9" s="52" t="n">
        <f aca="false">SUM(P4:P8)</f>
        <v>7.4</v>
      </c>
      <c r="Q9" s="52" t="n">
        <f aca="false">SUM(Q4:Q8)</f>
        <v>8.3</v>
      </c>
      <c r="R9" s="52" t="n">
        <f aca="false">SUM(R4:R8)</f>
        <v>8.3</v>
      </c>
      <c r="S9" s="52" t="n">
        <f aca="false">SUM(S4:S8)</f>
        <v>9</v>
      </c>
      <c r="T9" s="52" t="n">
        <f aca="false">SUM(T4:T8)</f>
        <v>9</v>
      </c>
    </row>
    <row r="10" customFormat="false" ht="21.75" hidden="false" customHeight="true" outlineLevel="0" collapsed="false">
      <c r="B10" s="53" t="s">
        <v>166</v>
      </c>
      <c r="C10" s="54" t="n">
        <f aca="false">75-C9</f>
        <v>72.9</v>
      </c>
      <c r="D10" s="54" t="n">
        <f aca="false">C10-D9</f>
        <v>70.7</v>
      </c>
      <c r="E10" s="54" t="n">
        <f aca="false">D10-E9</f>
        <v>67.9</v>
      </c>
      <c r="F10" s="54" t="n">
        <f aca="false">E10-F9</f>
        <v>64.8</v>
      </c>
      <c r="G10" s="54" t="n">
        <f aca="false">F10-G9</f>
        <v>61</v>
      </c>
      <c r="H10" s="54" t="n">
        <f aca="false">G10-H9</f>
        <v>57</v>
      </c>
      <c r="I10" s="54" t="n">
        <f aca="false">H10-I9</f>
        <v>52.3</v>
      </c>
      <c r="J10" s="54" t="n">
        <f aca="false">I10-J9</f>
        <v>47.4</v>
      </c>
      <c r="K10" s="54" t="n">
        <f aca="false">J10-K9</f>
        <v>41.9</v>
      </c>
      <c r="L10" s="54" t="n">
        <f aca="false">K10-L9</f>
        <v>36</v>
      </c>
      <c r="M10" s="54" t="n">
        <f aca="false">L10-M9</f>
        <v>29.7</v>
      </c>
      <c r="N10" s="54" t="n">
        <f aca="false">M10-N9</f>
        <v>23.4</v>
      </c>
      <c r="O10" s="54" t="n">
        <f aca="false">N10-O9</f>
        <v>16</v>
      </c>
      <c r="P10" s="54" t="n">
        <f aca="false">O10-P9</f>
        <v>8.60000000000001</v>
      </c>
      <c r="Q10" s="54" t="n">
        <f aca="false">P10-Q9</f>
        <v>0.300000000000013</v>
      </c>
      <c r="R10" s="54" t="n">
        <f aca="false">Q10-R9</f>
        <v>-7.99999999999999</v>
      </c>
      <c r="S10" s="54" t="n">
        <f aca="false">R10-S9</f>
        <v>-17</v>
      </c>
      <c r="T10" s="54" t="n">
        <f aca="false">S10-T9</f>
        <v>-26</v>
      </c>
    </row>
    <row r="11" customFormat="false" ht="18.75" hidden="false" customHeight="true" outlineLevel="0" collapsed="false">
      <c r="B11" s="48" t="s">
        <v>167</v>
      </c>
      <c r="C11" s="55" t="n">
        <v>0</v>
      </c>
      <c r="D11" s="55" t="n">
        <v>0</v>
      </c>
      <c r="E11" s="55" t="n">
        <v>0</v>
      </c>
      <c r="F11" s="55" t="n">
        <v>0</v>
      </c>
      <c r="G11" s="55" t="n">
        <v>0</v>
      </c>
      <c r="H11" s="55" t="n">
        <v>1.5</v>
      </c>
      <c r="I11" s="55" t="n">
        <v>1.5</v>
      </c>
      <c r="J11" s="55" t="n">
        <v>1.7</v>
      </c>
      <c r="K11" s="55" t="n">
        <v>1.7</v>
      </c>
      <c r="L11" s="55" t="n">
        <v>2</v>
      </c>
      <c r="M11" s="55" t="n">
        <v>2</v>
      </c>
      <c r="N11" s="55" t="n">
        <v>2</v>
      </c>
      <c r="O11" s="55" t="n">
        <v>3.5</v>
      </c>
      <c r="P11" s="55" t="n">
        <v>3.5</v>
      </c>
      <c r="Q11" s="55" t="n">
        <v>4</v>
      </c>
      <c r="R11" s="55" t="n">
        <v>4</v>
      </c>
      <c r="S11" s="55" t="n">
        <v>4.5</v>
      </c>
      <c r="T11" s="55" t="n">
        <v>5</v>
      </c>
    </row>
    <row r="13" customFormat="false" ht="15.75" hidden="false" customHeight="true" outlineLevel="0" collapsed="false">
      <c r="B13" s="56" t="s">
        <v>168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</row>
  </sheetData>
  <mergeCells count="2">
    <mergeCell ref="B1:S2"/>
    <mergeCell ref="B13:S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5"/>
    <col collapsed="false" customWidth="true" hidden="false" outlineLevel="0" max="4" min="3" style="1" width="20"/>
    <col collapsed="false" customWidth="true" hidden="false" outlineLevel="0" max="5" min="5" style="1" width="4"/>
  </cols>
  <sheetData>
    <row r="1" customFormat="false" ht="21.75" hidden="false" customHeight="true" outlineLevel="0" collapsed="false">
      <c r="B1" s="32" t="s">
        <v>169</v>
      </c>
      <c r="C1" s="32"/>
      <c r="D1" s="32"/>
    </row>
    <row r="2" customFormat="false" ht="21.75" hidden="false" customHeight="true" outlineLevel="0" collapsed="false">
      <c r="B2" s="32"/>
      <c r="C2" s="32"/>
      <c r="D2" s="32"/>
    </row>
    <row r="4" customFormat="false" ht="19.5" hidden="false" customHeight="true" outlineLevel="0" collapsed="false">
      <c r="B4" s="20" t="s">
        <v>170</v>
      </c>
      <c r="C4" s="20"/>
      <c r="D4" s="20"/>
    </row>
    <row r="5" customFormat="false" ht="19.5" hidden="false" customHeight="true" outlineLevel="0" collapsed="false">
      <c r="B5" s="36" t="s">
        <v>171</v>
      </c>
      <c r="C5" s="57" t="n">
        <f aca="false">2000*1000</f>
        <v>2000000</v>
      </c>
      <c r="D5" s="28" t="s">
        <v>172</v>
      </c>
    </row>
    <row r="6" customFormat="false" ht="19.5" hidden="false" customHeight="true" outlineLevel="0" collapsed="false">
      <c r="B6" s="58" t="s">
        <v>173</v>
      </c>
      <c r="C6" s="59" t="s">
        <v>77</v>
      </c>
      <c r="D6" s="31" t="s">
        <v>174</v>
      </c>
    </row>
    <row r="7" customFormat="false" ht="19.5" hidden="false" customHeight="true" outlineLevel="0" collapsed="false">
      <c r="B7" s="36" t="s">
        <v>175</v>
      </c>
      <c r="C7" s="60" t="s">
        <v>176</v>
      </c>
      <c r="D7" s="28" t="s">
        <v>177</v>
      </c>
    </row>
    <row r="8" customFormat="false" ht="19.5" hidden="false" customHeight="true" outlineLevel="0" collapsed="false">
      <c r="B8" s="58" t="s">
        <v>178</v>
      </c>
      <c r="C8" s="61" t="n">
        <f aca="false">C5+C6</f>
        <v>2025000</v>
      </c>
      <c r="D8" s="31" t="s">
        <v>179</v>
      </c>
    </row>
    <row r="9" customFormat="false" ht="19.5" hidden="false" customHeight="true" outlineLevel="0" collapsed="false">
      <c r="B9" s="36" t="s">
        <v>180</v>
      </c>
      <c r="C9" s="60" t="s">
        <v>80</v>
      </c>
      <c r="D9" s="28" t="s">
        <v>181</v>
      </c>
    </row>
    <row r="10" customFormat="false" ht="19.5" hidden="false" customHeight="true" outlineLevel="0" collapsed="false">
      <c r="B10" s="58" t="s">
        <v>182</v>
      </c>
      <c r="C10" s="61" t="n">
        <f aca="false">C4*C8</f>
        <v>0</v>
      </c>
      <c r="D10" s="31" t="s">
        <v>183</v>
      </c>
    </row>
    <row r="11" customFormat="false" ht="19.5" hidden="false" customHeight="true" outlineLevel="0" collapsed="false">
      <c r="B11" s="36" t="s">
        <v>184</v>
      </c>
      <c r="C11" s="62" t="n">
        <f aca="false">C9/C7</f>
        <v>0.0004</v>
      </c>
      <c r="D11" s="28" t="s">
        <v>185</v>
      </c>
    </row>
    <row r="12" customFormat="false" ht="19.5" hidden="false" customHeight="true" outlineLevel="0" collapsed="false">
      <c r="B12" s="58" t="s">
        <v>186</v>
      </c>
      <c r="C12" s="61" t="n">
        <f aca="false">IFERROR(C7/(C4/12),0)</f>
        <v>0</v>
      </c>
      <c r="D12" s="31" t="s">
        <v>187</v>
      </c>
    </row>
    <row r="13" customFormat="false" ht="7.5" hidden="false" customHeight="true" outlineLevel="0" collapsed="false"/>
    <row r="14" customFormat="false" ht="19.5" hidden="false" customHeight="true" outlineLevel="0" collapsed="false">
      <c r="B14" s="20" t="s">
        <v>188</v>
      </c>
      <c r="C14" s="20"/>
      <c r="D14" s="20"/>
    </row>
    <row r="15" customFormat="false" ht="19.5" hidden="false" customHeight="true" outlineLevel="0" collapsed="false">
      <c r="B15" s="36" t="s">
        <v>189</v>
      </c>
      <c r="C15" s="60" t="s">
        <v>53</v>
      </c>
      <c r="D15" s="28" t="s">
        <v>190</v>
      </c>
    </row>
    <row r="16" customFormat="false" ht="19.5" hidden="false" customHeight="true" outlineLevel="0" collapsed="false">
      <c r="B16" s="58" t="s">
        <v>191</v>
      </c>
      <c r="C16" s="59" t="s">
        <v>192</v>
      </c>
      <c r="D16" s="31" t="s">
        <v>193</v>
      </c>
    </row>
    <row r="17" customFormat="false" ht="19.5" hidden="false" customHeight="true" outlineLevel="0" collapsed="false">
      <c r="B17" s="36" t="s">
        <v>194</v>
      </c>
      <c r="C17" s="60" t="s">
        <v>195</v>
      </c>
      <c r="D17" s="28" t="s">
        <v>196</v>
      </c>
    </row>
    <row r="18" customFormat="false" ht="19.5" hidden="false" customHeight="true" outlineLevel="0" collapsed="false">
      <c r="B18" s="58" t="s">
        <v>197</v>
      </c>
      <c r="C18" s="61" t="n">
        <f aca="false">C13-C14-C15</f>
        <v>-1000</v>
      </c>
      <c r="D18" s="31" t="s">
        <v>198</v>
      </c>
    </row>
    <row r="19" customFormat="false" ht="19.5" hidden="false" customHeight="true" outlineLevel="0" collapsed="false">
      <c r="B19" s="36" t="s">
        <v>199</v>
      </c>
      <c r="C19" s="63" t="n">
        <f aca="false">IFERROR(C16/C13,0)</f>
        <v>0</v>
      </c>
      <c r="D19" s="28" t="s">
        <v>200</v>
      </c>
    </row>
    <row r="20" customFormat="false" ht="7.5" hidden="false" customHeight="true" outlineLevel="0" collapsed="false"/>
    <row r="21" customFormat="false" ht="19.5" hidden="false" customHeight="true" outlineLevel="0" collapsed="false">
      <c r="B21" s="20" t="s">
        <v>201</v>
      </c>
      <c r="C21" s="20"/>
      <c r="D21" s="20"/>
    </row>
    <row r="22" customFormat="false" ht="19.5" hidden="false" customHeight="true" outlineLevel="0" collapsed="false">
      <c r="B22" s="58" t="s">
        <v>202</v>
      </c>
      <c r="C22" s="61" t="n">
        <f aca="false">10*C4/100000</f>
        <v>0</v>
      </c>
      <c r="D22" s="31" t="s">
        <v>203</v>
      </c>
    </row>
    <row r="23" customFormat="false" ht="19.5" hidden="false" customHeight="true" outlineLevel="0" collapsed="false">
      <c r="B23" s="36" t="s">
        <v>204</v>
      </c>
      <c r="C23" s="57" t="n">
        <f aca="false">50*C4/100000</f>
        <v>0</v>
      </c>
      <c r="D23" s="28" t="s">
        <v>205</v>
      </c>
    </row>
    <row r="24" customFormat="false" ht="19.5" hidden="false" customHeight="true" outlineLevel="0" collapsed="false">
      <c r="B24" s="58" t="s">
        <v>206</v>
      </c>
      <c r="C24" s="61" t="n">
        <f aca="false">100*C4/100000</f>
        <v>0</v>
      </c>
      <c r="D24" s="31" t="s">
        <v>207</v>
      </c>
    </row>
    <row r="25" customFormat="false" ht="19.5" hidden="false" customHeight="true" outlineLevel="0" collapsed="false">
      <c r="B25" s="36" t="s">
        <v>208</v>
      </c>
      <c r="C25" s="57" t="n">
        <f aca="false">IFERROR(49/C4*100000,0)</f>
        <v>0</v>
      </c>
      <c r="D25" s="28" t="s">
        <v>209</v>
      </c>
    </row>
  </sheetData>
  <mergeCells count="4">
    <mergeCell ref="B1:D2"/>
    <mergeCell ref="B4:D4"/>
    <mergeCell ref="B14:D14"/>
    <mergeCell ref="B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50"/>
    <col collapsed="false" customWidth="true" hidden="false" outlineLevel="0" max="3" min="3" style="1" width="4"/>
  </cols>
  <sheetData>
    <row r="1" customFormat="false" ht="24.75" hidden="false" customHeight="true" outlineLevel="0" collapsed="false">
      <c r="B1" s="25" t="s">
        <v>210</v>
      </c>
    </row>
    <row r="2" customFormat="false" ht="24.75" hidden="false" customHeight="true" outlineLevel="0" collapsed="false">
      <c r="B2" s="25"/>
    </row>
    <row r="4" customFormat="false" ht="21.75" hidden="false" customHeight="true" outlineLevel="0" collapsed="false">
      <c r="B4" s="41" t="s">
        <v>211</v>
      </c>
    </row>
    <row r="5" customFormat="false" ht="19.5" hidden="false" customHeight="true" outlineLevel="0" collapsed="false">
      <c r="B5" s="6" t="s">
        <v>212</v>
      </c>
    </row>
    <row r="6" customFormat="false" ht="19.5" hidden="false" customHeight="true" outlineLevel="0" collapsed="false">
      <c r="B6" s="8" t="s">
        <v>213</v>
      </c>
    </row>
    <row r="7" customFormat="false" ht="19.5" hidden="false" customHeight="true" outlineLevel="0" collapsed="false">
      <c r="B7" s="6" t="s">
        <v>214</v>
      </c>
    </row>
    <row r="8" customFormat="false" ht="19.5" hidden="false" customHeight="true" outlineLevel="0" collapsed="false">
      <c r="B8" s="8" t="s">
        <v>215</v>
      </c>
    </row>
    <row r="9" customFormat="false" ht="19.5" hidden="false" customHeight="true" outlineLevel="0" collapsed="false">
      <c r="B9" s="6" t="s">
        <v>216</v>
      </c>
    </row>
    <row r="10" customFormat="false" ht="7.5" hidden="false" customHeight="true" outlineLevel="0" collapsed="false"/>
    <row r="11" customFormat="false" ht="21.75" hidden="false" customHeight="true" outlineLevel="0" collapsed="false">
      <c r="B11" s="41" t="s">
        <v>217</v>
      </c>
    </row>
    <row r="12" customFormat="false" ht="19.5" hidden="false" customHeight="true" outlineLevel="0" collapsed="false">
      <c r="B12" s="8" t="s">
        <v>218</v>
      </c>
    </row>
    <row r="13" customFormat="false" ht="19.5" hidden="false" customHeight="true" outlineLevel="0" collapsed="false">
      <c r="B13" s="6" t="s">
        <v>219</v>
      </c>
    </row>
    <row r="14" customFormat="false" ht="19.5" hidden="false" customHeight="true" outlineLevel="0" collapsed="false">
      <c r="B14" s="8" t="s">
        <v>220</v>
      </c>
    </row>
    <row r="15" customFormat="false" ht="19.5" hidden="false" customHeight="true" outlineLevel="0" collapsed="false">
      <c r="B15" s="6" t="s">
        <v>221</v>
      </c>
    </row>
    <row r="16" customFormat="false" ht="19.5" hidden="false" customHeight="true" outlineLevel="0" collapsed="false">
      <c r="B16" s="8" t="s">
        <v>222</v>
      </c>
    </row>
    <row r="17" customFormat="false" ht="7.5" hidden="false" customHeight="true" outlineLevel="0" collapsed="false"/>
    <row r="18" customFormat="false" ht="21.75" hidden="false" customHeight="true" outlineLevel="0" collapsed="false">
      <c r="B18" s="41" t="s">
        <v>223</v>
      </c>
    </row>
    <row r="19" customFormat="false" ht="19.5" hidden="false" customHeight="true" outlineLevel="0" collapsed="false">
      <c r="B19" s="6" t="s">
        <v>224</v>
      </c>
    </row>
    <row r="20" customFormat="false" ht="19.5" hidden="false" customHeight="true" outlineLevel="0" collapsed="false">
      <c r="B20" s="8" t="s">
        <v>225</v>
      </c>
    </row>
    <row r="21" customFormat="false" ht="19.5" hidden="false" customHeight="true" outlineLevel="0" collapsed="false">
      <c r="B21" s="6" t="s">
        <v>226</v>
      </c>
    </row>
    <row r="22" customFormat="false" ht="19.5" hidden="false" customHeight="true" outlineLevel="0" collapsed="false">
      <c r="B22" s="8" t="s">
        <v>227</v>
      </c>
    </row>
    <row r="23" customFormat="false" ht="19.5" hidden="false" customHeight="true" outlineLevel="0" collapsed="false">
      <c r="B23" s="6" t="s">
        <v>228</v>
      </c>
    </row>
    <row r="24" customFormat="false" ht="7.5" hidden="false" customHeight="true" outlineLevel="0" collapsed="false"/>
    <row r="25" customFormat="false" ht="21.75" hidden="false" customHeight="true" outlineLevel="0" collapsed="false">
      <c r="B25" s="41" t="s">
        <v>229</v>
      </c>
    </row>
    <row r="26" customFormat="false" ht="19.5" hidden="false" customHeight="true" outlineLevel="0" collapsed="false">
      <c r="B26" s="8" t="s">
        <v>230</v>
      </c>
    </row>
    <row r="27" customFormat="false" ht="19.5" hidden="false" customHeight="true" outlineLevel="0" collapsed="false">
      <c r="B27" s="6" t="s">
        <v>231</v>
      </c>
    </row>
    <row r="28" customFormat="false" ht="19.5" hidden="false" customHeight="true" outlineLevel="0" collapsed="false">
      <c r="B28" s="8" t="s">
        <v>232</v>
      </c>
    </row>
    <row r="29" customFormat="false" ht="19.5" hidden="false" customHeight="true" outlineLevel="0" collapsed="false">
      <c r="B29" s="6" t="s">
        <v>233</v>
      </c>
    </row>
    <row r="30" customFormat="false" ht="19.5" hidden="false" customHeight="true" outlineLevel="0" collapsed="false">
      <c r="B30" s="8" t="s">
        <v>234</v>
      </c>
    </row>
    <row r="31" customFormat="false" ht="7.5" hidden="false" customHeight="true" outlineLevel="0" collapsed="false"/>
    <row r="32" customFormat="false" ht="21.75" hidden="false" customHeight="true" outlineLevel="0" collapsed="false">
      <c r="B32" s="41" t="s">
        <v>235</v>
      </c>
    </row>
    <row r="33" customFormat="false" ht="19.5" hidden="false" customHeight="true" outlineLevel="0" collapsed="false">
      <c r="B33" s="6" t="s">
        <v>236</v>
      </c>
    </row>
    <row r="34" customFormat="false" ht="19.5" hidden="false" customHeight="true" outlineLevel="0" collapsed="false">
      <c r="B34" s="8" t="s">
        <v>237</v>
      </c>
    </row>
    <row r="35" customFormat="false" ht="19.5" hidden="false" customHeight="true" outlineLevel="0" collapsed="false">
      <c r="B35" s="6" t="s">
        <v>238</v>
      </c>
    </row>
    <row r="36" customFormat="false" ht="19.5" hidden="false" customHeight="true" outlineLevel="0" collapsed="false">
      <c r="B36" s="8" t="s">
        <v>239</v>
      </c>
    </row>
    <row r="37" customFormat="false" ht="19.5" hidden="false" customHeight="true" outlineLevel="0" collapsed="false">
      <c r="B37" s="6" t="s">
        <v>240</v>
      </c>
    </row>
    <row r="38" customFormat="false" ht="7.5" hidden="false" customHeight="true" outlineLevel="0" collapsed="false"/>
    <row r="39" customFormat="false" ht="21.75" hidden="false" customHeight="true" outlineLevel="0" collapsed="false">
      <c r="B39" s="41" t="s">
        <v>241</v>
      </c>
    </row>
    <row r="40" customFormat="false" ht="19.5" hidden="false" customHeight="true" outlineLevel="0" collapsed="false">
      <c r="B40" s="8" t="s">
        <v>242</v>
      </c>
    </row>
    <row r="41" customFormat="false" ht="19.5" hidden="false" customHeight="true" outlineLevel="0" collapsed="false">
      <c r="B41" s="6" t="s">
        <v>243</v>
      </c>
    </row>
    <row r="42" customFormat="false" ht="19.5" hidden="false" customHeight="true" outlineLevel="0" collapsed="false">
      <c r="B42" s="8" t="s">
        <v>244</v>
      </c>
    </row>
    <row r="43" customFormat="false" ht="19.5" hidden="false" customHeight="true" outlineLevel="0" collapsed="false">
      <c r="B43" s="6" t="s">
        <v>245</v>
      </c>
    </row>
    <row r="44" customFormat="false" ht="19.5" hidden="false" customHeight="true" outlineLevel="0" collapsed="false">
      <c r="B44" s="8" t="s">
        <v>246</v>
      </c>
    </row>
    <row r="45" customFormat="false" ht="7.5" hidden="false" customHeight="true" outlineLevel="0" collapsed="false"/>
    <row r="46" customFormat="false" ht="21.75" hidden="false" customHeight="true" outlineLevel="0" collapsed="false">
      <c r="B46" s="41" t="s">
        <v>247</v>
      </c>
    </row>
    <row r="47" customFormat="false" ht="19.5" hidden="false" customHeight="true" outlineLevel="0" collapsed="false">
      <c r="B47" s="6" t="s">
        <v>248</v>
      </c>
    </row>
    <row r="48" customFormat="false" ht="19.5" hidden="false" customHeight="true" outlineLevel="0" collapsed="false">
      <c r="B48" s="8" t="s">
        <v>249</v>
      </c>
    </row>
    <row r="49" customFormat="false" ht="19.5" hidden="false" customHeight="true" outlineLevel="0" collapsed="false">
      <c r="B49" s="6" t="s">
        <v>250</v>
      </c>
    </row>
    <row r="50" customFormat="false" ht="19.5" hidden="false" customHeight="true" outlineLevel="0" collapsed="false">
      <c r="B50" s="8" t="s">
        <v>251</v>
      </c>
    </row>
    <row r="51" customFormat="false" ht="19.5" hidden="false" customHeight="true" outlineLevel="0" collapsed="false">
      <c r="B51" s="6" t="s">
        <v>252</v>
      </c>
    </row>
    <row r="52" customFormat="false" ht="7.5" hidden="false" customHeight="true" outlineLevel="0" collapsed="false"/>
    <row r="53" customFormat="false" ht="21.75" hidden="false" customHeight="true" outlineLevel="0" collapsed="false">
      <c r="B53" s="41" t="s">
        <v>253</v>
      </c>
    </row>
    <row r="54" customFormat="false" ht="19.5" hidden="false" customHeight="true" outlineLevel="0" collapsed="false">
      <c r="B54" s="8" t="s">
        <v>214</v>
      </c>
    </row>
    <row r="55" customFormat="false" ht="19.5" hidden="false" customHeight="true" outlineLevel="0" collapsed="false">
      <c r="B55" s="6" t="s">
        <v>254</v>
      </c>
    </row>
    <row r="56" customFormat="false" ht="19.5" hidden="false" customHeight="true" outlineLevel="0" collapsed="false">
      <c r="B56" s="8" t="s">
        <v>255</v>
      </c>
    </row>
    <row r="57" customFormat="false" ht="19.5" hidden="false" customHeight="true" outlineLevel="0" collapsed="false">
      <c r="B57" s="6" t="s">
        <v>256</v>
      </c>
    </row>
    <row r="58" customFormat="false" ht="19.5" hidden="false" customHeight="true" outlineLevel="0" collapsed="false">
      <c r="B58" s="8" t="s">
        <v>257</v>
      </c>
    </row>
    <row r="59" customFormat="false" ht="7.5" hidden="false" customHeight="true" outlineLevel="0" collapsed="false"/>
  </sheetData>
  <mergeCells count="1">
    <mergeCell ref="B1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2026-03-21T07:48:29Z</dcterms:created>
  <dc:creator>openpyxl</dc:creator>
  <dc:description/>
  <dc:language>en-US</dc:language>
  <cp:lastModifiedBy/>
  <dcterms:modified xsi:type="dcterms:W3CDTF">2026-03-21T07:49:15Z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