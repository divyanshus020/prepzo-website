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Cost Dashboard" sheetId="1" state="visible" r:id="rId3"/>
    <sheet name="🎯 Per Interview Cost" sheetId="2" state="visible" r:id="rId4"/>
    <sheet name="📅 18-Month Tracker" sheetId="3" state="visible" r:id="rId5"/>
    <sheet name="🏗️ Tech Sta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<sst xmlns="http://schemas.openxmlformats.org/spreadsheetml/2006/main" count="184" uniqueCount="177">
  <si>
    <t xml:space="preserve">PREPZO — COMPLETE MONTHLY COST MODEL</t>
  </si>
  <si>
    <t xml:space="preserve">Stack: KVM 8  |  Claude Haiku 4.5  |  Groq Whisper  |  Piper TTS (Free)  |  Cloudflare R2  |  Supabase</t>
  </si>
  <si>
    <t xml:space="preserve">  Category / Item</t>
  </si>
  <si>
    <t xml:space="preserve">Month 1–2
500 Students
(Free Tier)</t>
  </si>
  <si>
    <t xml:space="preserve">Month 3–6
2,000 Students
(1 University)</t>
  </si>
  <si>
    <t xml:space="preserve">Month 7–12
10,000 Students
(5 Universities)</t>
  </si>
  <si>
    <t xml:space="preserve">Month 12+
20,000 Students
(10 Universities)</t>
  </si>
  <si>
    <t xml:space="preserve">  👨‍💻  TEAM</t>
  </si>
  <si>
    <t xml:space="preserve">  Developer 1 (Frontend/React)</t>
  </si>
  <si>
    <t xml:space="preserve">  Developer 2 (Backend/Node.js)</t>
  </si>
  <si>
    <t xml:space="preserve">  Developer 3 (AI Integration)</t>
  </si>
  <si>
    <t xml:space="preserve">  Sales / Growth Person</t>
  </si>
  <si>
    <t xml:space="preserve">  TEAM SUBTOTAL</t>
  </si>
  <si>
    <t xml:space="preserve">  🖥️  SERVER &amp; INFRASTRUCTURE</t>
  </si>
  <si>
    <t xml:space="preserve">  KVM 8 Server (8vCPU/32GB/400GB NVMe)</t>
  </si>
  <si>
    <t xml:space="preserve">  Cloudflare CDN + DDoS Protection</t>
  </si>
  <si>
    <t xml:space="preserve">  SSL Certificate (Cloudflare Free)</t>
  </si>
  <si>
    <t xml:space="preserve">  SERVER SUBTOTAL</t>
  </si>
  <si>
    <t xml:space="preserve">  💾  STORAGE</t>
  </si>
  <si>
    <t xml:space="preserve">  Cloudflare R2 — Video Recordings (₹)</t>
  </si>
  <si>
    <t xml:space="preserve">  Supabase — Database + Auth</t>
  </si>
  <si>
    <t xml:space="preserve">  Resume / PDF / Report Files (R2)</t>
  </si>
  <si>
    <t xml:space="preserve">  STORAGE SUBTOTAL</t>
  </si>
  <si>
    <t xml:space="preserve">  🤖  AI SERVICES</t>
  </si>
  <si>
    <t xml:space="preserve">  Claude Haiku 4.5 — All LLM Tasks (₹)</t>
  </si>
  <si>
    <t xml:space="preserve">  Groq Whisper — Audio Transcription (₹)</t>
  </si>
  <si>
    <t xml:space="preserve">  Piper TTS — Text to Speech (Self-hosted)</t>
  </si>
  <si>
    <t xml:space="preserve">  AI SUBTOTAL</t>
  </si>
  <si>
    <t xml:space="preserve">  🛠️  TOOLS &amp; MISC</t>
  </si>
  <si>
    <t xml:space="preserve">  Resend — Transactional Email</t>
  </si>
  <si>
    <t xml:space="preserve">  BetterStack / Monitoring</t>
  </si>
  <si>
    <t xml:space="preserve">  Razorpay — Payment Gateway (2% fee)</t>
  </si>
  <si>
    <t xml:space="preserve">  Misc (Testing, APIs, Tools)</t>
  </si>
  <si>
    <t xml:space="preserve">  TOOLS SUBTOTAL</t>
  </si>
  <si>
    <t xml:space="preserve">  💰  TOTAL MONTHLY COST</t>
  </si>
  <si>
    <t xml:space="preserve">  📈  REVENUE &amp; PROFITABILITY</t>
  </si>
  <si>
    <t xml:space="preserve">  Monthly Revenue (₹1,200/student/year)</t>
  </si>
  <si>
    <t xml:space="preserve">  Net Profit / (Loss)</t>
  </si>
  <si>
    <t xml:space="preserve">  Gross Margin %</t>
  </si>
  <si>
    <t xml:space="preserve">  AI Cost as % of Revenue</t>
  </si>
  <si>
    <t xml:space="preserve">  🏃  RUNWAY FROM ₹75L RAISE:   Month 1-2 Cost = ₹64,178  |  Month 3 onwards SELF-SUSTAINING  |  ₹74.4L remaining for growth 🚀</t>
  </si>
  <si>
    <t xml:space="preserve">  Note: Blue = editable input  |  KVM renews at ₹4,399/mo after 2yr deal  |  R2 storage = cumulative archive  |  Piper TTS = ₹0 (self-hosted on KVM)</t>
  </si>
  <si>
    <t xml:space="preserve">PER INTERVIEW COST ANALYSIS — PREPZO</t>
  </si>
  <si>
    <t xml:space="preserve">1 Interview Session = 45 minutes  |  480p recording  |  Full AI pipeline</t>
  </si>
  <si>
    <t xml:space="preserve">  COMPONENT-WISE COST PER INTERVIEW SESSION</t>
  </si>
  <si>
    <t xml:space="preserve">Component</t>
  </si>
  <si>
    <t xml:space="preserve">Cost (₹)</t>
  </si>
  <si>
    <t xml:space="preserve">Cost ($)</t>
  </si>
  <si>
    <t xml:space="preserve">Notes</t>
  </si>
  <si>
    <t xml:space="preserve">  Groq Whisper (45 min audio @ $0.04/hr)</t>
  </si>
  <si>
    <t xml:space="preserve">216x realtime — fastest STT available</t>
  </si>
  <si>
    <t xml:space="preserve">  Claude Haiku 4.5 (3,000 tokens avg)</t>
  </si>
  <si>
    <t xml:space="preserve">Interview Q&amp;A + feedback generation</t>
  </si>
  <si>
    <t xml:space="preserve">  Piper TTS (questions spoken aloud)</t>
  </si>
  <si>
    <t xml:space="preserve">Self-hosted on KVM — completely free</t>
  </si>
  <si>
    <t xml:space="preserve">  Cloudflare R2 Storage (150MB @ 480p)</t>
  </si>
  <si>
    <t xml:space="preserve">Stored for 30 days on KVM then R2</t>
  </si>
  <si>
    <t xml:space="preserve">  Supabase DB write (transcript + data)</t>
  </si>
  <si>
    <t xml:space="preserve">Analytics + admin report storage</t>
  </si>
  <si>
    <t xml:space="preserve">  TOTAL COST PER INTERVIEW</t>
  </si>
  <si>
    <t xml:space="preserve">~₹4 per interview total</t>
  </si>
  <si>
    <t xml:space="preserve">  REVENUE vs AI COST — PER STUDENT</t>
  </si>
  <si>
    <t xml:space="preserve">  Revenue per student per year (₹)</t>
  </si>
  <si>
    <t xml:space="preserve">1200</t>
  </si>
  <si>
    <t xml:space="preserve">  Total interviews per student per year</t>
  </si>
  <si>
    <t xml:space="preserve">20</t>
  </si>
  <si>
    <t xml:space="preserve">  Revenue per interview</t>
  </si>
  <si>
    <t xml:space="preserve">  AI Cost per interview</t>
  </si>
  <si>
    <t xml:space="preserve">  Margin per interview</t>
  </si>
  <si>
    <t xml:space="preserve">  Margin % per interview</t>
  </si>
  <si>
    <t xml:space="preserve">  🔥  KEY INSIGHT: At ₹1,200/student/year with ~20 interviews — Revenue per interview = ₹60, AI Cost = ₹4. That's 93%+ margin per interview!</t>
  </si>
  <si>
    <t xml:space="preserve">PREPZO — 18 MONTH COST &amp; REVENUE TRACKER</t>
  </si>
  <si>
    <t xml:space="preserve">Item</t>
  </si>
  <si>
    <t xml:space="preserve">M1
Phase 1
Free</t>
  </si>
  <si>
    <t xml:space="preserve">M2
Phase 1
Free</t>
  </si>
  <si>
    <t xml:space="preserve">M3
Phase 2
Paid</t>
  </si>
  <si>
    <t xml:space="preserve">M4
Phase 2
Paid</t>
  </si>
  <si>
    <t xml:space="preserve">M5
Phase 2
Paid</t>
  </si>
  <si>
    <t xml:space="preserve">M6
Phase 2
Paid</t>
  </si>
  <si>
    <t xml:space="preserve">M7
Phase 3
Scale</t>
  </si>
  <si>
    <t xml:space="preserve">M8
Phase 3
Scale</t>
  </si>
  <si>
    <t xml:space="preserve">M9
Phase 3
Scale</t>
  </si>
  <si>
    <t xml:space="preserve">M10
Phase 3
Scale</t>
  </si>
  <si>
    <t xml:space="preserve">M11
Phase 3
Scale</t>
  </si>
  <si>
    <t xml:space="preserve">M12
Phase 3
Scale</t>
  </si>
  <si>
    <t xml:space="preserve">M13
Phase 3
Scale</t>
  </si>
  <si>
    <t xml:space="preserve">M14
Phase 3
Scale</t>
  </si>
  <si>
    <t xml:space="preserve">M15
Phase 3
Scale</t>
  </si>
  <si>
    <t xml:space="preserve">M16
Phase 3
Scale</t>
  </si>
  <si>
    <t xml:space="preserve">M17
Phase 3
Scale</t>
  </si>
  <si>
    <t xml:space="preserve">M18
Phase 3
Scale</t>
  </si>
  <si>
    <t xml:space="preserve">  Students (cumulative)</t>
  </si>
  <si>
    <t xml:space="preserve">  Universities</t>
  </si>
  <si>
    <t xml:space="preserve">  ── COSTS ──</t>
  </si>
  <si>
    <t xml:space="preserve">  Team (₹)</t>
  </si>
  <si>
    <t xml:space="preserve">  KVM Server (₹)</t>
  </si>
  <si>
    <t xml:space="preserve">  Cloudflare R2 (₹)</t>
  </si>
  <si>
    <t xml:space="preserve">  Supabase (₹)</t>
  </si>
  <si>
    <t xml:space="preserve">  Claude Haiku 4.5 (₹)</t>
  </si>
  <si>
    <t xml:space="preserve">  Groq Whisper (₹)</t>
  </si>
  <si>
    <t xml:space="preserve">  Piper TTS (₹)</t>
  </si>
  <si>
    <t xml:space="preserve">  Tools &amp; Misc (₹)</t>
  </si>
  <si>
    <t xml:space="preserve">  ── REVENUE ──</t>
  </si>
  <si>
    <t xml:space="preserve">  Monthly Revenue (₹)</t>
  </si>
  <si>
    <t xml:space="preserve">  TOTAL COST (₹)</t>
  </si>
  <si>
    <t xml:space="preserve">  NET PROFIT / (LOSS) (₹)</t>
  </si>
  <si>
    <t xml:space="preserve">PREPZO — FINAL TECH STACK &amp; TOOLS</t>
  </si>
  <si>
    <t xml:space="preserve">Category</t>
  </si>
  <si>
    <t xml:space="preserve">Tool / Service</t>
  </si>
  <si>
    <t xml:space="preserve">Plan</t>
  </si>
  <si>
    <t xml:space="preserve">Monthly Cost</t>
  </si>
  <si>
    <t xml:space="preserve">Why Chosen</t>
  </si>
  <si>
    <t xml:space="preserve">🖥️ Server</t>
  </si>
  <si>
    <t xml:space="preserve">Hetzner KVM 8</t>
  </si>
  <si>
    <t xml:space="preserve">₹2,199/mo (deal)</t>
  </si>
  <si>
    <t xml:space="preserve">₹2,199</t>
  </si>
  <si>
    <t xml:space="preserve">8vCPU/32GB/400GB/32TB BW — best price/perf</t>
  </si>
  <si>
    <t xml:space="preserve">🗄️ Database</t>
  </si>
  <si>
    <t xml:space="preserve">Supabase</t>
  </si>
  <si>
    <t xml:space="preserve">Free → Pro $25</t>
  </si>
  <si>
    <t xml:space="preserve">₹0-2,100</t>
  </si>
  <si>
    <t xml:space="preserve">Postgres + Auth + Realtime built-in</t>
  </si>
  <si>
    <t xml:space="preserve">💾 Video Archive</t>
  </si>
  <si>
    <t xml:space="preserve">Cloudflare R2</t>
  </si>
  <si>
    <t xml:space="preserve">Pay per GB</t>
  </si>
  <si>
    <t xml:space="preserve">₹190-6,250</t>
  </si>
  <si>
    <t xml:space="preserve">Zero egress fees, $0.015/GB only</t>
  </si>
  <si>
    <t xml:space="preserve">🌐 CDN/Security</t>
  </si>
  <si>
    <t xml:space="preserve">Cloudflare</t>
  </si>
  <si>
    <t xml:space="preserve">Free</t>
  </si>
  <si>
    <t xml:space="preserve">₹0</t>
  </si>
  <si>
    <t xml:space="preserve">DDoS, SSL, global CDN — free forever</t>
  </si>
  <si>
    <t xml:space="preserve">🤖 LLM</t>
  </si>
  <si>
    <t xml:space="preserve">Claude Haiku 4.5</t>
  </si>
  <si>
    <t xml:space="preserve">$1/$5 per M tokens</t>
  </si>
  <si>
    <t xml:space="preserve">₹3,200+</t>
  </si>
  <si>
    <t xml:space="preserve">Best quality/cost, 95% savings w/ caching</t>
  </si>
  <si>
    <t xml:space="preserve">🎙️ STT</t>
  </si>
  <si>
    <t xml:space="preserve">Groq Whisper Large V3 T</t>
  </si>
  <si>
    <t xml:space="preserve">$0.04/hour audio</t>
  </si>
  <si>
    <t xml:space="preserve">₹2,500+</t>
  </si>
  <si>
    <t xml:space="preserve">216x realtime speed, cheapest STT</t>
  </si>
  <si>
    <t xml:space="preserve">🔊 TTS</t>
  </si>
  <si>
    <t xml:space="preserve">Piper (Open Source)</t>
  </si>
  <si>
    <t xml:space="preserve">Self-hosted</t>
  </si>
  <si>
    <t xml:space="preserve">Free forever, hosted on KVM server</t>
  </si>
  <si>
    <t xml:space="preserve">🔐 Domain</t>
  </si>
  <si>
    <t xml:space="preserve">prepzo.space</t>
  </si>
  <si>
    <t xml:space="preserve">Already purchased</t>
  </si>
  <si>
    <t xml:space="preserve">1 year prepaid — no monthly cost</t>
  </si>
  <si>
    <t xml:space="preserve">📧 Email</t>
  </si>
  <si>
    <t xml:space="preserve">Resend</t>
  </si>
  <si>
    <t xml:space="preserve">Free → Pro</t>
  </si>
  <si>
    <t xml:space="preserve">₹0-700</t>
  </si>
  <si>
    <t xml:space="preserve">3K free/month, developer-friendly</t>
  </si>
  <si>
    <t xml:space="preserve">💳 Payments</t>
  </si>
  <si>
    <t xml:space="preserve">Razorpay</t>
  </si>
  <si>
    <t xml:space="preserve">2% per txn</t>
  </si>
  <si>
    <t xml:space="preserve">₹0-1,500</t>
  </si>
  <si>
    <t xml:space="preserve">Best for India, UPI + cards + netbanking</t>
  </si>
  <si>
    <t xml:space="preserve">📊 Monitoring</t>
  </si>
  <si>
    <t xml:space="preserve">BetterStack</t>
  </si>
  <si>
    <t xml:space="preserve">Free tier</t>
  </si>
  <si>
    <t xml:space="preserve">Uptime + logs free up to 3 services</t>
  </si>
  <si>
    <t xml:space="preserve">🚀 Frontend</t>
  </si>
  <si>
    <t xml:space="preserve">React + Vite</t>
  </si>
  <si>
    <t xml:space="preserve">Open Source</t>
  </si>
  <si>
    <t xml:space="preserve">Already built ✅</t>
  </si>
  <si>
    <t xml:space="preserve">⚙️ Backend</t>
  </si>
  <si>
    <t xml:space="preserve">Node.js + Express</t>
  </si>
  <si>
    <t xml:space="preserve">Fast, lightweight API server</t>
  </si>
  <si>
    <t xml:space="preserve">🔄 CI/CD</t>
  </si>
  <si>
    <t xml:space="preserve">GitHub Actions</t>
  </si>
  <si>
    <t xml:space="preserve">Free (public repo)</t>
  </si>
  <si>
    <t xml:space="preserve">Auto deploy on push</t>
  </si>
  <si>
    <t xml:space="preserve">  TOTAL MONTHLY (Month 1-2)</t>
  </si>
  <si>
    <t xml:space="preserve">~₹32,089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</si>
</sst>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₹#,##0"/>
    <numFmt numFmtId="167" formatCode="\₹#,##0;&quot;(₹&quot;#,##0\)"/>
    <numFmt numFmtId="168" formatCode="0.0%"/>
    <numFmt numFmtId="169" formatCode="\₹#,##0.000"/>
    <numFmt numFmtId="170" formatCode="\$#,##0.0000"/>
    <numFmt numFmtId="171" formatCode="\₹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C3AE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7C3AED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9"/>
      <color rgb="FF16A34A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16A34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DE9FE"/>
        <bgColor rgb="FFE5E7EB"/>
      </patternFill>
    </fill>
    <fill>
      <patternFill patternType="solid">
        <fgColor rgb="FF1E1B4B"/>
        <bgColor rgb="FF111827"/>
      </patternFill>
    </fill>
    <fill>
      <patternFill patternType="solid">
        <fgColor rgb="FF0D9488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16A34A"/>
        <bgColor rgb="FF0D9488"/>
      </patternFill>
    </fill>
    <fill>
      <patternFill patternType="solid">
        <fgColor rgb="FFF8F7FF"/>
        <bgColor rgb="FFFFFFFF"/>
      </patternFill>
    </fill>
    <fill>
      <patternFill patternType="solid">
        <fgColor rgb="FFFFFFFF"/>
        <bgColor rgb="FFF8F7FF"/>
      </patternFill>
    </fill>
    <fill>
      <patternFill patternType="solid">
        <fgColor rgb="FFD1FAE5"/>
        <bgColor rgb="FFE5E7EB"/>
      </patternFill>
    </fill>
    <fill>
      <patternFill patternType="solid">
        <fgColor rgb="FFFEE2E2"/>
        <bgColor rgb="FFEDE9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medium">
        <color rgb="FF7C3AED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8F7FF"/>
      <rgbColor rgb="FFE5E7EB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111827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</row>
    <row r="2" customFormat="false" ht="24" hidden="false" customHeight="true" outlineLevel="0" collapsed="false">
      <c r="B2" s="1"/>
      <c r="C2" s="1"/>
      <c r="D2" s="1"/>
      <c r="E2" s="1"/>
      <c r="F2" s="1"/>
    </row>
    <row r="3" customFormat="false" ht="24" hidden="false" customHeight="true" outlineLevel="0" collapsed="false">
      <c r="B3" s="1"/>
      <c r="C3" s="1"/>
      <c r="D3" s="1"/>
      <c r="E3" s="1"/>
      <c r="F3" s="1"/>
    </row>
    <row r="4" customFormat="false" ht="18" hidden="false" customHeight="true" outlineLevel="0" collapsed="false">
      <c r="B4" s="2" t="s">
        <v>1</v>
      </c>
      <c r="C4" s="2"/>
      <c r="D4" s="2"/>
      <c r="E4" s="2"/>
      <c r="F4" s="2"/>
    </row>
    <row r="5" customFormat="false" ht="7.5" hidden="false" customHeight="true" outlineLevel="0" collapsed="false"/>
    <row r="6" customFormat="false" ht="42" hidden="false" customHeight="true" outlineLevel="0" collapsed="false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</row>
    <row r="7" customFormat="false" ht="19.5" hidden="false" customHeight="true" outlineLevel="0" collapsed="false">
      <c r="B7" s="3" t="s">
        <v>7</v>
      </c>
      <c r="C7" s="3"/>
      <c r="D7" s="3"/>
      <c r="E7" s="3"/>
      <c r="F7" s="3"/>
    </row>
    <row r="8" customFormat="false" ht="18.75" hidden="false" customHeight="true" outlineLevel="0" collapsed="false">
      <c r="B8" s="8" t="s">
        <v>8</v>
      </c>
      <c r="C8" s="9" t="n">
        <v>12000</v>
      </c>
      <c r="D8" s="9" t="n">
        <v>12000</v>
      </c>
      <c r="E8" s="9" t="n">
        <v>15000</v>
      </c>
      <c r="F8" s="9" t="n">
        <v>15000</v>
      </c>
    </row>
    <row r="9" customFormat="false" ht="18.75" hidden="false" customHeight="true" outlineLevel="0" collapsed="false">
      <c r="B9" s="10" t="s">
        <v>9</v>
      </c>
      <c r="C9" s="11" t="n">
        <v>12000</v>
      </c>
      <c r="D9" s="11" t="n">
        <v>12000</v>
      </c>
      <c r="E9" s="11" t="n">
        <v>15000</v>
      </c>
      <c r="F9" s="11" t="n">
        <v>15000</v>
      </c>
    </row>
    <row r="10" customFormat="false" ht="18.75" hidden="false" customHeight="true" outlineLevel="0" collapsed="false">
      <c r="B10" s="8" t="s">
        <v>10</v>
      </c>
      <c r="C10" s="9" t="n">
        <v>0</v>
      </c>
      <c r="D10" s="9" t="n">
        <v>0</v>
      </c>
      <c r="E10" s="9" t="n">
        <v>12000</v>
      </c>
      <c r="F10" s="9" t="n">
        <v>15000</v>
      </c>
    </row>
    <row r="11" customFormat="false" ht="18.75" hidden="false" customHeight="true" outlineLevel="0" collapsed="false">
      <c r="B11" s="10" t="s">
        <v>11</v>
      </c>
      <c r="C11" s="11" t="n">
        <v>0</v>
      </c>
      <c r="D11" s="11" t="n">
        <v>0</v>
      </c>
      <c r="E11" s="11" t="n">
        <v>0</v>
      </c>
      <c r="F11" s="11" t="n">
        <v>15000</v>
      </c>
    </row>
    <row r="12" customFormat="false" ht="21.75" hidden="false" customHeight="true" outlineLevel="0" collapsed="false">
      <c r="B12" s="12" t="s">
        <v>12</v>
      </c>
      <c r="C12" s="13" t="n">
        <f aca="false">SUM(C8:C11)</f>
        <v>24000</v>
      </c>
      <c r="D12" s="13" t="n">
        <f aca="false">SUM(D8:D11)</f>
        <v>24000</v>
      </c>
      <c r="E12" s="13" t="n">
        <f aca="false">SUM(E8:E11)</f>
        <v>42000</v>
      </c>
      <c r="F12" s="13" t="n">
        <f aca="false">SUM(F8:F11)</f>
        <v>60000</v>
      </c>
    </row>
    <row r="13" customFormat="false" ht="6" hidden="false" customHeight="true" outlineLevel="0" collapsed="false"/>
    <row r="14" customFormat="false" ht="19.5" hidden="false" customHeight="true" outlineLevel="0" collapsed="false">
      <c r="B14" s="3" t="s">
        <v>13</v>
      </c>
      <c r="C14" s="3"/>
      <c r="D14" s="3"/>
      <c r="E14" s="3"/>
      <c r="F14" s="3"/>
    </row>
    <row r="15" customFormat="false" ht="18.75" hidden="false" customHeight="true" outlineLevel="0" collapsed="false">
      <c r="B15" s="8" t="s">
        <v>14</v>
      </c>
      <c r="C15" s="9" t="n">
        <v>2199</v>
      </c>
      <c r="D15" s="9" t="n">
        <v>4399</v>
      </c>
      <c r="E15" s="9" t="n">
        <v>4399</v>
      </c>
      <c r="F15" s="9" t="n">
        <v>4399</v>
      </c>
    </row>
    <row r="16" customFormat="false" ht="18.75" hidden="false" customHeight="true" outlineLevel="0" collapsed="false">
      <c r="B16" s="10" t="s">
        <v>15</v>
      </c>
      <c r="C16" s="11" t="n">
        <v>0</v>
      </c>
      <c r="D16" s="11" t="n">
        <v>0</v>
      </c>
      <c r="E16" s="11" t="n">
        <v>0</v>
      </c>
      <c r="F16" s="11" t="n">
        <v>0</v>
      </c>
    </row>
    <row r="17" customFormat="false" ht="18.75" hidden="false" customHeight="true" outlineLevel="0" collapsed="false">
      <c r="B17" s="8" t="s">
        <v>16</v>
      </c>
      <c r="C17" s="9" t="n">
        <v>0</v>
      </c>
      <c r="D17" s="9" t="n">
        <v>0</v>
      </c>
      <c r="E17" s="9" t="n">
        <v>0</v>
      </c>
      <c r="F17" s="9" t="n">
        <v>0</v>
      </c>
    </row>
    <row r="18" customFormat="false" ht="21.75" hidden="false" customHeight="true" outlineLevel="0" collapsed="false">
      <c r="B18" s="12" t="s">
        <v>17</v>
      </c>
      <c r="C18" s="13" t="n">
        <f aca="false">SUM(C15:C17)</f>
        <v>2199</v>
      </c>
      <c r="D18" s="13" t="n">
        <f aca="false">SUM(D15:D17)</f>
        <v>4399</v>
      </c>
      <c r="E18" s="13" t="n">
        <f aca="false">SUM(E15:E17)</f>
        <v>4399</v>
      </c>
      <c r="F18" s="13" t="n">
        <f aca="false">SUM(F15:F17)</f>
        <v>4399</v>
      </c>
    </row>
    <row r="19" customFormat="false" ht="6" hidden="false" customHeight="true" outlineLevel="0" collapsed="false"/>
    <row r="20" customFormat="false" ht="19.5" hidden="false" customHeight="true" outlineLevel="0" collapsed="false">
      <c r="B20" s="3" t="s">
        <v>18</v>
      </c>
      <c r="C20" s="3"/>
      <c r="D20" s="3"/>
      <c r="E20" s="3"/>
      <c r="F20" s="3"/>
    </row>
    <row r="21" customFormat="false" ht="18.75" hidden="false" customHeight="true" outlineLevel="0" collapsed="false">
      <c r="B21" s="8" t="s">
        <v>19</v>
      </c>
      <c r="C21" s="9" t="n">
        <v>190</v>
      </c>
      <c r="D21" s="9" t="n">
        <v>750</v>
      </c>
      <c r="E21" s="9" t="n">
        <v>3750</v>
      </c>
      <c r="F21" s="9" t="n">
        <v>6250</v>
      </c>
    </row>
    <row r="22" customFormat="false" ht="18.75" hidden="false" customHeight="true" outlineLevel="0" collapsed="false">
      <c r="B22" s="10" t="s">
        <v>20</v>
      </c>
      <c r="C22" s="11" t="n">
        <v>0</v>
      </c>
      <c r="D22" s="11" t="n">
        <v>2100</v>
      </c>
      <c r="E22" s="11" t="n">
        <v>2100</v>
      </c>
      <c r="F22" s="11" t="n">
        <v>2100</v>
      </c>
    </row>
    <row r="23" customFormat="false" ht="18.75" hidden="false" customHeight="true" outlineLevel="0" collapsed="false">
      <c r="B23" s="8" t="s">
        <v>21</v>
      </c>
      <c r="C23" s="9" t="n">
        <v>50</v>
      </c>
      <c r="D23" s="9" t="n">
        <v>150</v>
      </c>
      <c r="E23" s="9" t="n">
        <v>500</v>
      </c>
      <c r="F23" s="9" t="n">
        <v>1000</v>
      </c>
    </row>
    <row r="24" customFormat="false" ht="21.75" hidden="false" customHeight="true" outlineLevel="0" collapsed="false">
      <c r="B24" s="12" t="s">
        <v>22</v>
      </c>
      <c r="C24" s="13" t="n">
        <f aca="false">SUM(C21:C23)</f>
        <v>240</v>
      </c>
      <c r="D24" s="13" t="n">
        <f aca="false">SUM(D21:D23)</f>
        <v>3000</v>
      </c>
      <c r="E24" s="13" t="n">
        <f aca="false">SUM(E21:E23)</f>
        <v>6350</v>
      </c>
      <c r="F24" s="13" t="n">
        <f aca="false">SUM(F21:F23)</f>
        <v>9350</v>
      </c>
    </row>
    <row r="25" customFormat="false" ht="6" hidden="false" customHeight="true" outlineLevel="0" collapsed="false"/>
    <row r="26" customFormat="false" ht="19.5" hidden="false" customHeight="true" outlineLevel="0" collapsed="false">
      <c r="B26" s="3" t="s">
        <v>23</v>
      </c>
      <c r="C26" s="3"/>
      <c r="D26" s="3"/>
      <c r="E26" s="3"/>
      <c r="F26" s="3"/>
    </row>
    <row r="27" customFormat="false" ht="18.75" hidden="false" customHeight="true" outlineLevel="0" collapsed="false">
      <c r="B27" s="8" t="s">
        <v>24</v>
      </c>
      <c r="C27" s="9" t="n">
        <v>3200</v>
      </c>
      <c r="D27" s="9" t="n">
        <v>10000</v>
      </c>
      <c r="E27" s="9" t="n">
        <v>45000</v>
      </c>
      <c r="F27" s="9" t="n">
        <v>75000</v>
      </c>
    </row>
    <row r="28" customFormat="false" ht="18.75" hidden="false" customHeight="true" outlineLevel="0" collapsed="false">
      <c r="B28" s="10" t="s">
        <v>25</v>
      </c>
      <c r="C28" s="11" t="n">
        <v>2500</v>
      </c>
      <c r="D28" s="11" t="n">
        <v>8300</v>
      </c>
      <c r="E28" s="11" t="n">
        <v>33000</v>
      </c>
      <c r="F28" s="11" t="n">
        <v>66500</v>
      </c>
    </row>
    <row r="29" customFormat="false" ht="18.75" hidden="false" customHeight="true" outlineLevel="0" collapsed="false">
      <c r="B29" s="8" t="s">
        <v>26</v>
      </c>
      <c r="C29" s="9" t="n">
        <v>0</v>
      </c>
      <c r="D29" s="9" t="n">
        <v>0</v>
      </c>
      <c r="E29" s="9" t="n">
        <v>0</v>
      </c>
      <c r="F29" s="9" t="n">
        <v>0</v>
      </c>
    </row>
    <row r="30" customFormat="false" ht="21.75" hidden="false" customHeight="true" outlineLevel="0" collapsed="false">
      <c r="B30" s="12" t="s">
        <v>27</v>
      </c>
      <c r="C30" s="13" t="n">
        <f aca="false">SUM(C27:C29)</f>
        <v>5700</v>
      </c>
      <c r="D30" s="13" t="n">
        <f aca="false">SUM(D27:D29)</f>
        <v>18300</v>
      </c>
      <c r="E30" s="13" t="n">
        <f aca="false">SUM(E27:E29)</f>
        <v>78000</v>
      </c>
      <c r="F30" s="13" t="n">
        <f aca="false">SUM(F27:F29)</f>
        <v>141500</v>
      </c>
    </row>
    <row r="31" customFormat="false" ht="6" hidden="false" customHeight="true" outlineLevel="0" collapsed="false"/>
    <row r="32" customFormat="false" ht="19.5" hidden="false" customHeight="true" outlineLevel="0" collapsed="false">
      <c r="B32" s="3" t="s">
        <v>28</v>
      </c>
      <c r="C32" s="3"/>
      <c r="D32" s="3"/>
      <c r="E32" s="3"/>
      <c r="F32" s="3"/>
    </row>
    <row r="33" customFormat="false" ht="18.75" hidden="false" customHeight="true" outlineLevel="0" collapsed="false">
      <c r="B33" s="8" t="s">
        <v>29</v>
      </c>
      <c r="C33" s="9" t="n">
        <v>0</v>
      </c>
      <c r="D33" s="9" t="n">
        <v>700</v>
      </c>
      <c r="E33" s="9" t="n">
        <v>700</v>
      </c>
      <c r="F33" s="9" t="n">
        <v>1500</v>
      </c>
    </row>
    <row r="34" customFormat="false" ht="18.75" hidden="false" customHeight="true" outlineLevel="0" collapsed="false">
      <c r="B34" s="10" t="s">
        <v>30</v>
      </c>
      <c r="C34" s="11" t="n">
        <v>0</v>
      </c>
      <c r="D34" s="11" t="n">
        <v>0</v>
      </c>
      <c r="E34" s="11" t="n">
        <v>800</v>
      </c>
      <c r="F34" s="11" t="n">
        <v>1200</v>
      </c>
    </row>
    <row r="35" customFormat="false" ht="18.75" hidden="false" customHeight="true" outlineLevel="0" collapsed="false">
      <c r="B35" s="8" t="s">
        <v>31</v>
      </c>
      <c r="C35" s="9" t="n">
        <v>0</v>
      </c>
      <c r="D35" s="9" t="n">
        <v>0</v>
      </c>
      <c r="E35" s="9" t="n">
        <v>500</v>
      </c>
      <c r="F35" s="9" t="n">
        <v>1500</v>
      </c>
    </row>
    <row r="36" customFormat="false" ht="18.75" hidden="false" customHeight="true" outlineLevel="0" collapsed="false">
      <c r="B36" s="10" t="s">
        <v>32</v>
      </c>
      <c r="C36" s="11" t="n">
        <v>500</v>
      </c>
      <c r="D36" s="11" t="n">
        <v>500</v>
      </c>
      <c r="E36" s="11" t="n">
        <v>1000</v>
      </c>
      <c r="F36" s="11" t="n">
        <v>2000</v>
      </c>
    </row>
    <row r="37" customFormat="false" ht="21.75" hidden="false" customHeight="true" outlineLevel="0" collapsed="false">
      <c r="B37" s="12" t="s">
        <v>33</v>
      </c>
      <c r="C37" s="13" t="n">
        <f aca="false">SUM(C33:C36)</f>
        <v>500</v>
      </c>
      <c r="D37" s="13" t="n">
        <f aca="false">SUM(D33:D36)</f>
        <v>1200</v>
      </c>
      <c r="E37" s="13" t="n">
        <f aca="false">SUM(E33:E36)</f>
        <v>3000</v>
      </c>
      <c r="F37" s="13" t="n">
        <f aca="false">SUM(F33:F36)</f>
        <v>6200</v>
      </c>
    </row>
    <row r="38" customFormat="false" ht="9.75" hidden="false" customHeight="true" outlineLevel="0" collapsed="false"/>
    <row r="39" customFormat="false" ht="25.5" hidden="false" customHeight="true" outlineLevel="0" collapsed="false">
      <c r="B39" s="14" t="s">
        <v>34</v>
      </c>
      <c r="C39" s="15" t="n">
        <f aca="false">C12+C18+C24+C30+C37</f>
        <v>32639</v>
      </c>
      <c r="D39" s="15" t="n">
        <f aca="false">D12+D18+D24+D30+D37</f>
        <v>50899</v>
      </c>
      <c r="E39" s="15" t="n">
        <f aca="false">E12+E18+E24+E30+E37</f>
        <v>133749</v>
      </c>
      <c r="F39" s="15" t="n">
        <f aca="false">F12+F18+F24+F30+F37</f>
        <v>221449</v>
      </c>
    </row>
    <row r="40" customFormat="false" ht="7.5" hidden="false" customHeight="true" outlineLevel="0" collapsed="false"/>
    <row r="41" customFormat="false" ht="19.5" hidden="false" customHeight="true" outlineLevel="0" collapsed="false">
      <c r="B41" s="3" t="s">
        <v>35</v>
      </c>
      <c r="C41" s="3"/>
      <c r="D41" s="3"/>
      <c r="E41" s="3"/>
      <c r="F41" s="3"/>
    </row>
    <row r="42" customFormat="false" ht="19.5" hidden="false" customHeight="true" outlineLevel="0" collapsed="false">
      <c r="B42" s="16" t="s">
        <v>36</v>
      </c>
      <c r="C42" s="17" t="n">
        <v>0</v>
      </c>
      <c r="D42" s="17" t="n">
        <v>200000</v>
      </c>
      <c r="E42" s="17" t="n">
        <v>1000000</v>
      </c>
      <c r="F42" s="17" t="n">
        <v>2000000</v>
      </c>
    </row>
    <row r="43" customFormat="false" ht="19.5" hidden="false" customHeight="true" outlineLevel="0" collapsed="false">
      <c r="B43" s="18" t="s">
        <v>37</v>
      </c>
      <c r="C43" s="19" t="n">
        <f aca="false">C42-C39</f>
        <v>-32639</v>
      </c>
      <c r="D43" s="20" t="n">
        <f aca="false">D42-D39</f>
        <v>149101</v>
      </c>
      <c r="E43" s="20" t="n">
        <f aca="false">E42-E39</f>
        <v>866251</v>
      </c>
      <c r="F43" s="20" t="n">
        <f aca="false">F42-F39</f>
        <v>1778551</v>
      </c>
    </row>
    <row r="44" customFormat="false" ht="19.5" hidden="false" customHeight="true" outlineLevel="0" collapsed="false">
      <c r="B44" s="21" t="s">
        <v>38</v>
      </c>
      <c r="C44" s="22" t="n">
        <f aca="false">IFERROR((C42-C39)/C42,0)</f>
        <v>0</v>
      </c>
      <c r="D44" s="22" t="n">
        <f aca="false">IFERROR((D42-D39)/D42,0)</f>
        <v>0.745505</v>
      </c>
      <c r="E44" s="22" t="n">
        <f aca="false">IFERROR((E42-E39)/E42,0)</f>
        <v>0.866251</v>
      </c>
      <c r="F44" s="22" t="n">
        <f aca="false">IFERROR((F42-F39)/F42,0)</f>
        <v>0.8892755</v>
      </c>
    </row>
    <row r="45" customFormat="false" ht="19.5" hidden="false" customHeight="true" outlineLevel="0" collapsed="false">
      <c r="B45" s="8" t="s">
        <v>39</v>
      </c>
      <c r="C45" s="23" t="n">
        <f aca="false">IFERROR(C30/C42,0)</f>
        <v>0</v>
      </c>
      <c r="D45" s="23" t="n">
        <f aca="false">IFERROR(D30/D42,0)</f>
        <v>0.0915</v>
      </c>
      <c r="E45" s="23" t="n">
        <f aca="false">IFERROR(E30/E42,0)</f>
        <v>0.078</v>
      </c>
      <c r="F45" s="23" t="n">
        <f aca="false">IFERROR(F30/F42,0)</f>
        <v>0.07075</v>
      </c>
    </row>
    <row r="46" customFormat="false" ht="9.75" hidden="false" customHeight="true" outlineLevel="0" collapsed="false"/>
    <row r="47" customFormat="false" ht="21.75" hidden="false" customHeight="true" outlineLevel="0" collapsed="false">
      <c r="B47" s="24" t="s">
        <v>40</v>
      </c>
      <c r="C47" s="24"/>
      <c r="D47" s="24"/>
      <c r="E47" s="24"/>
      <c r="F47" s="24"/>
    </row>
    <row r="48" customFormat="false" ht="15.75" hidden="false" customHeight="true" outlineLevel="0" collapsed="false">
      <c r="B48" s="25" t="s">
        <v>41</v>
      </c>
      <c r="C48" s="25"/>
      <c r="D48" s="25"/>
      <c r="E48" s="25"/>
      <c r="F48" s="25"/>
    </row>
  </sheetData>
  <mergeCells count="10">
    <mergeCell ref="B1:F3"/>
    <mergeCell ref="B4:F4"/>
    <mergeCell ref="B7:F7"/>
    <mergeCell ref="B14:F14"/>
    <mergeCell ref="B20:F20"/>
    <mergeCell ref="B26:F26"/>
    <mergeCell ref="B32:F32"/>
    <mergeCell ref="B41:F41"/>
    <mergeCell ref="B47:F47"/>
    <mergeCell ref="B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20"/>
    <col collapsed="false" customWidth="true" hidden="false" outlineLevel="0" max="6" min="6" style="0" width="3"/>
  </cols>
  <sheetData>
    <row r="1" customFormat="false" ht="21.75" hidden="false" customHeight="true" outlineLevel="0" collapsed="false">
      <c r="B1" s="26" t="s">
        <v>42</v>
      </c>
      <c r="C1" s="26"/>
      <c r="D1" s="26"/>
      <c r="E1" s="26"/>
    </row>
    <row r="2" customFormat="false" ht="21.75" hidden="false" customHeight="true" outlineLevel="0" collapsed="false">
      <c r="B2" s="26"/>
      <c r="C2" s="26"/>
      <c r="D2" s="26"/>
      <c r="E2" s="26"/>
    </row>
    <row r="3" customFormat="false" ht="18" hidden="false" customHeight="true" outlineLevel="0" collapsed="false">
      <c r="B3" s="2" t="s">
        <v>43</v>
      </c>
      <c r="C3" s="2"/>
      <c r="D3" s="2"/>
      <c r="E3" s="2"/>
    </row>
    <row r="5" customFormat="false" ht="19.5" hidden="false" customHeight="true" outlineLevel="0" collapsed="false">
      <c r="B5" s="3" t="s">
        <v>44</v>
      </c>
      <c r="C5" s="3"/>
      <c r="D5" s="3"/>
      <c r="E5" s="3"/>
    </row>
    <row r="6" customFormat="false" ht="19.5" hidden="false" customHeight="true" outlineLevel="0" collapsed="false">
      <c r="B6" s="27" t="s">
        <v>45</v>
      </c>
      <c r="C6" s="27" t="s">
        <v>46</v>
      </c>
      <c r="D6" s="27" t="s">
        <v>47</v>
      </c>
      <c r="E6" s="27" t="s">
        <v>48</v>
      </c>
    </row>
    <row r="7" customFormat="false" ht="19.5" hidden="false" customHeight="true" outlineLevel="0" collapsed="false">
      <c r="B7" s="8" t="s">
        <v>49</v>
      </c>
      <c r="C7" s="28" t="n">
        <v>2.5</v>
      </c>
      <c r="D7" s="29" t="n">
        <v>0.03</v>
      </c>
      <c r="E7" s="30" t="s">
        <v>50</v>
      </c>
    </row>
    <row r="8" customFormat="false" ht="19.5" hidden="false" customHeight="true" outlineLevel="0" collapsed="false">
      <c r="B8" s="10" t="s">
        <v>51</v>
      </c>
      <c r="C8" s="31" t="n">
        <v>1.25</v>
      </c>
      <c r="D8" s="32" t="n">
        <v>0.015</v>
      </c>
      <c r="E8" s="33" t="s">
        <v>52</v>
      </c>
    </row>
    <row r="9" customFormat="false" ht="19.5" hidden="false" customHeight="true" outlineLevel="0" collapsed="false">
      <c r="B9" s="8" t="s">
        <v>53</v>
      </c>
      <c r="C9" s="28" t="n">
        <v>0</v>
      </c>
      <c r="D9" s="29" t="n">
        <v>0</v>
      </c>
      <c r="E9" s="30" t="s">
        <v>54</v>
      </c>
    </row>
    <row r="10" customFormat="false" ht="19.5" hidden="false" customHeight="true" outlineLevel="0" collapsed="false">
      <c r="B10" s="10" t="s">
        <v>55</v>
      </c>
      <c r="C10" s="31" t="n">
        <v>0.002</v>
      </c>
      <c r="D10" s="32" t="n">
        <v>2E-005</v>
      </c>
      <c r="E10" s="33" t="s">
        <v>56</v>
      </c>
    </row>
    <row r="11" customFormat="false" ht="19.5" hidden="false" customHeight="true" outlineLevel="0" collapsed="false">
      <c r="B11" s="8" t="s">
        <v>57</v>
      </c>
      <c r="C11" s="28" t="n">
        <v>0.1</v>
      </c>
      <c r="D11" s="29" t="n">
        <v>0.001</v>
      </c>
      <c r="E11" s="30" t="s">
        <v>58</v>
      </c>
    </row>
    <row r="12" customFormat="false" ht="24" hidden="false" customHeight="true" outlineLevel="0" collapsed="false">
      <c r="B12" s="34" t="s">
        <v>59</v>
      </c>
      <c r="C12" s="35" t="n">
        <f aca="false">SUM(C7:C11)</f>
        <v>3.852</v>
      </c>
      <c r="D12" s="36" t="n">
        <f aca="false">SUM(D7:D11)</f>
        <v>0.04602</v>
      </c>
      <c r="E12" s="37" t="s">
        <v>60</v>
      </c>
    </row>
    <row r="14" customFormat="false" ht="19.5" hidden="false" customHeight="true" outlineLevel="0" collapsed="false">
      <c r="B14" s="3" t="s">
        <v>61</v>
      </c>
      <c r="C14" s="3"/>
      <c r="D14" s="3"/>
      <c r="E14" s="3"/>
    </row>
    <row r="15" customFormat="false" ht="19.5" hidden="false" customHeight="true" outlineLevel="0" collapsed="false">
      <c r="B15" s="16" t="s">
        <v>62</v>
      </c>
      <c r="C15" s="38" t="s">
        <v>63</v>
      </c>
      <c r="D15" s="39"/>
      <c r="E15" s="39"/>
    </row>
    <row r="16" customFormat="false" ht="19.5" hidden="false" customHeight="true" outlineLevel="0" collapsed="false">
      <c r="B16" s="40" t="s">
        <v>64</v>
      </c>
      <c r="C16" s="41" t="s">
        <v>65</v>
      </c>
      <c r="D16" s="39"/>
      <c r="E16" s="39"/>
    </row>
    <row r="17" customFormat="false" ht="19.5" hidden="false" customHeight="true" outlineLevel="0" collapsed="false">
      <c r="B17" s="16" t="s">
        <v>66</v>
      </c>
      <c r="C17" s="38" t="n">
        <f aca="false">C15/C16</f>
        <v>60</v>
      </c>
      <c r="D17" s="39"/>
      <c r="E17" s="39"/>
    </row>
    <row r="18" customFormat="false" ht="19.5" hidden="false" customHeight="true" outlineLevel="0" collapsed="false">
      <c r="B18" s="42" t="s">
        <v>67</v>
      </c>
      <c r="C18" s="43" t="n">
        <f aca="false">C12</f>
        <v>3.852</v>
      </c>
      <c r="D18" s="39"/>
      <c r="E18" s="39"/>
    </row>
    <row r="19" customFormat="false" ht="19.5" hidden="false" customHeight="true" outlineLevel="0" collapsed="false">
      <c r="B19" s="16" t="s">
        <v>68</v>
      </c>
      <c r="C19" s="38" t="n">
        <f aca="false">C17-C18</f>
        <v>56.148</v>
      </c>
      <c r="D19" s="39"/>
      <c r="E19" s="39"/>
    </row>
    <row r="20" customFormat="false" ht="19.5" hidden="false" customHeight="true" outlineLevel="0" collapsed="false">
      <c r="B20" s="21" t="s">
        <v>69</v>
      </c>
      <c r="C20" s="44" t="n">
        <f aca="false">IFERROR(C19/C17,0)</f>
        <v>0.9358</v>
      </c>
      <c r="D20" s="39"/>
      <c r="E20" s="39"/>
    </row>
    <row r="22" customFormat="false" ht="21.75" hidden="false" customHeight="true" outlineLevel="0" collapsed="false">
      <c r="B22" s="24" t="s">
        <v>70</v>
      </c>
      <c r="C22" s="24"/>
      <c r="D22" s="24"/>
      <c r="E22" s="24"/>
    </row>
  </sheetData>
  <mergeCells count="11">
    <mergeCell ref="B1:E2"/>
    <mergeCell ref="B3:E3"/>
    <mergeCell ref="B5:E5"/>
    <mergeCell ref="B14:E14"/>
    <mergeCell ref="D15:E15"/>
    <mergeCell ref="D16:E16"/>
    <mergeCell ref="D17:E17"/>
    <mergeCell ref="D18:E18"/>
    <mergeCell ref="D19:E19"/>
    <mergeCell ref="D20:E20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20" min="3" style="0" width="11"/>
    <col collapsed="false" customWidth="true" hidden="false" outlineLevel="0" max="21" min="21" style="0" width="3"/>
  </cols>
  <sheetData>
    <row r="1" customFormat="false" ht="21.75" hidden="false" customHeight="true" outlineLevel="0" collapsed="false">
      <c r="B1" s="45" t="s">
        <v>71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customFormat="false" ht="21.75" hidden="false" customHeight="true" outlineLevel="0" collapsed="false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customFormat="false" ht="36" hidden="false" customHeight="true" outlineLevel="0" collapsed="false">
      <c r="B3" s="46" t="s">
        <v>72</v>
      </c>
      <c r="C3" s="47" t="s">
        <v>73</v>
      </c>
      <c r="D3" s="47" t="s">
        <v>74</v>
      </c>
      <c r="E3" s="47" t="s">
        <v>75</v>
      </c>
      <c r="F3" s="47" t="s">
        <v>76</v>
      </c>
      <c r="G3" s="47" t="s">
        <v>77</v>
      </c>
      <c r="H3" s="47" t="s">
        <v>78</v>
      </c>
      <c r="I3" s="48" t="s">
        <v>79</v>
      </c>
      <c r="J3" s="48" t="s">
        <v>80</v>
      </c>
      <c r="K3" s="48" t="s">
        <v>81</v>
      </c>
      <c r="L3" s="48" t="s">
        <v>82</v>
      </c>
      <c r="M3" s="48" t="s">
        <v>83</v>
      </c>
      <c r="N3" s="48" t="s">
        <v>84</v>
      </c>
      <c r="O3" s="49" t="s">
        <v>85</v>
      </c>
      <c r="P3" s="49" t="s">
        <v>86</v>
      </c>
      <c r="Q3" s="49" t="s">
        <v>87</v>
      </c>
      <c r="R3" s="49" t="s">
        <v>88</v>
      </c>
      <c r="S3" s="49" t="s">
        <v>89</v>
      </c>
      <c r="T3" s="49" t="s">
        <v>90</v>
      </c>
    </row>
    <row r="4" customFormat="false" ht="19.5" hidden="false" customHeight="true" outlineLevel="0" collapsed="false">
      <c r="B4" s="21" t="s">
        <v>91</v>
      </c>
      <c r="C4" s="50" t="n">
        <v>500</v>
      </c>
      <c r="D4" s="50" t="n">
        <v>500</v>
      </c>
      <c r="E4" s="50" t="n">
        <v>2000</v>
      </c>
      <c r="F4" s="50" t="n">
        <v>2000</v>
      </c>
      <c r="G4" s="50" t="n">
        <v>2000</v>
      </c>
      <c r="H4" s="50" t="n">
        <v>2000</v>
      </c>
      <c r="I4" s="50" t="n">
        <v>4000</v>
      </c>
      <c r="J4" s="50" t="n">
        <v>6000</v>
      </c>
      <c r="K4" s="50" t="n">
        <v>8000</v>
      </c>
      <c r="L4" s="50" t="n">
        <v>10000</v>
      </c>
      <c r="M4" s="50" t="n">
        <v>12000</v>
      </c>
      <c r="N4" s="50" t="n">
        <v>15000</v>
      </c>
      <c r="O4" s="50" t="n">
        <v>18000</v>
      </c>
      <c r="P4" s="50" t="n">
        <v>20000</v>
      </c>
      <c r="Q4" s="50" t="n">
        <v>20000</v>
      </c>
      <c r="R4" s="50" t="n">
        <v>20000</v>
      </c>
      <c r="S4" s="50" t="n">
        <v>20000</v>
      </c>
      <c r="T4" s="50" t="n">
        <v>20000</v>
      </c>
    </row>
    <row r="5" customFormat="false" ht="19.5" hidden="false" customHeight="true" outlineLevel="0" collapsed="false">
      <c r="B5" s="21" t="s">
        <v>92</v>
      </c>
      <c r="C5" s="50" t="n">
        <v>0</v>
      </c>
      <c r="D5" s="50" t="n">
        <v>0</v>
      </c>
      <c r="E5" s="50" t="n">
        <v>1</v>
      </c>
      <c r="F5" s="50" t="n">
        <v>1</v>
      </c>
      <c r="G5" s="50" t="n">
        <v>1</v>
      </c>
      <c r="H5" s="50" t="n">
        <v>1</v>
      </c>
      <c r="I5" s="50" t="n">
        <v>2</v>
      </c>
      <c r="J5" s="50" t="n">
        <v>3</v>
      </c>
      <c r="K5" s="50" t="n">
        <v>4</v>
      </c>
      <c r="L5" s="50" t="n">
        <v>5</v>
      </c>
      <c r="M5" s="50" t="n">
        <v>6</v>
      </c>
      <c r="N5" s="50" t="n">
        <v>7</v>
      </c>
      <c r="O5" s="50" t="n">
        <v>8</v>
      </c>
      <c r="P5" s="50" t="n">
        <v>9</v>
      </c>
      <c r="Q5" s="50" t="n">
        <v>10</v>
      </c>
      <c r="R5" s="50" t="n">
        <v>10</v>
      </c>
      <c r="S5" s="50" t="n">
        <v>10</v>
      </c>
      <c r="T5" s="50" t="n">
        <v>10</v>
      </c>
    </row>
    <row r="6" customFormat="false" ht="18" hidden="false" customHeight="true" outlineLevel="0" collapsed="false">
      <c r="B6" s="51" t="s">
        <v>93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</row>
    <row r="7" customFormat="false" ht="19.5" hidden="false" customHeight="true" outlineLevel="0" collapsed="false">
      <c r="B7" s="10" t="s">
        <v>94</v>
      </c>
      <c r="C7" s="52" t="n">
        <v>24000</v>
      </c>
      <c r="D7" s="52" t="n">
        <v>24000</v>
      </c>
      <c r="E7" s="52" t="n">
        <v>25000</v>
      </c>
      <c r="F7" s="52" t="n">
        <v>25000</v>
      </c>
      <c r="G7" s="52" t="n">
        <v>25000</v>
      </c>
      <c r="H7" s="52" t="n">
        <v>25000</v>
      </c>
      <c r="I7" s="52" t="n">
        <v>30000</v>
      </c>
      <c r="J7" s="52" t="n">
        <v>30000</v>
      </c>
      <c r="K7" s="52" t="n">
        <v>40000</v>
      </c>
      <c r="L7" s="52" t="n">
        <v>40000</v>
      </c>
      <c r="M7" s="52" t="n">
        <v>40000</v>
      </c>
      <c r="N7" s="52" t="n">
        <v>55000</v>
      </c>
      <c r="O7" s="52" t="n">
        <v>55000</v>
      </c>
      <c r="P7" s="52" t="n">
        <v>70000</v>
      </c>
      <c r="Q7" s="52" t="n">
        <v>70000</v>
      </c>
      <c r="R7" s="52" t="n">
        <v>70000</v>
      </c>
      <c r="S7" s="52" t="n">
        <v>70000</v>
      </c>
      <c r="T7" s="52" t="n">
        <v>70000</v>
      </c>
    </row>
    <row r="8" customFormat="false" ht="19.5" hidden="false" customHeight="true" outlineLevel="0" collapsed="false">
      <c r="B8" s="8" t="s">
        <v>95</v>
      </c>
      <c r="C8" s="53" t="n">
        <v>2199</v>
      </c>
      <c r="D8" s="53" t="n">
        <v>2199</v>
      </c>
      <c r="E8" s="53" t="n">
        <v>4399</v>
      </c>
      <c r="F8" s="53" t="n">
        <v>4399</v>
      </c>
      <c r="G8" s="53" t="n">
        <v>4399</v>
      </c>
      <c r="H8" s="53" t="n">
        <v>4399</v>
      </c>
      <c r="I8" s="53" t="n">
        <v>4399</v>
      </c>
      <c r="J8" s="53" t="n">
        <v>4399</v>
      </c>
      <c r="K8" s="53" t="n">
        <v>4399</v>
      </c>
      <c r="L8" s="53" t="n">
        <v>4399</v>
      </c>
      <c r="M8" s="53" t="n">
        <v>4399</v>
      </c>
      <c r="N8" s="53" t="n">
        <v>4399</v>
      </c>
      <c r="O8" s="53" t="n">
        <v>4399</v>
      </c>
      <c r="P8" s="53" t="n">
        <v>4399</v>
      </c>
      <c r="Q8" s="53" t="n">
        <v>4399</v>
      </c>
      <c r="R8" s="53" t="n">
        <v>4399</v>
      </c>
      <c r="S8" s="53" t="n">
        <v>4399</v>
      </c>
      <c r="T8" s="53" t="n">
        <v>4399</v>
      </c>
    </row>
    <row r="9" customFormat="false" ht="19.5" hidden="false" customHeight="true" outlineLevel="0" collapsed="false">
      <c r="B9" s="10" t="s">
        <v>96</v>
      </c>
      <c r="C9" s="52" t="n">
        <v>190</v>
      </c>
      <c r="D9" s="52" t="n">
        <v>190</v>
      </c>
      <c r="E9" s="52" t="n">
        <v>750</v>
      </c>
      <c r="F9" s="52" t="n">
        <v>750</v>
      </c>
      <c r="G9" s="52" t="n">
        <v>750</v>
      </c>
      <c r="H9" s="52" t="n">
        <v>750</v>
      </c>
      <c r="I9" s="52" t="n">
        <v>1500</v>
      </c>
      <c r="J9" s="52" t="n">
        <v>2000</v>
      </c>
      <c r="K9" s="52" t="n">
        <v>2500</v>
      </c>
      <c r="L9" s="52" t="n">
        <v>3000</v>
      </c>
      <c r="M9" s="52" t="n">
        <v>3500</v>
      </c>
      <c r="N9" s="52" t="n">
        <v>4000</v>
      </c>
      <c r="O9" s="52" t="n">
        <v>5000</v>
      </c>
      <c r="P9" s="52" t="n">
        <v>6000</v>
      </c>
      <c r="Q9" s="52" t="n">
        <v>6250</v>
      </c>
      <c r="R9" s="52" t="n">
        <v>6250</v>
      </c>
      <c r="S9" s="52" t="n">
        <v>6250</v>
      </c>
      <c r="T9" s="52" t="n">
        <v>6250</v>
      </c>
    </row>
    <row r="10" customFormat="false" ht="19.5" hidden="false" customHeight="true" outlineLevel="0" collapsed="false">
      <c r="B10" s="8" t="s">
        <v>97</v>
      </c>
      <c r="C10" s="53" t="n">
        <v>0</v>
      </c>
      <c r="D10" s="53" t="n">
        <v>0</v>
      </c>
      <c r="E10" s="53" t="n">
        <v>2100</v>
      </c>
      <c r="F10" s="53" t="n">
        <v>2100</v>
      </c>
      <c r="G10" s="53" t="n">
        <v>2100</v>
      </c>
      <c r="H10" s="53" t="n">
        <v>2100</v>
      </c>
      <c r="I10" s="53" t="n">
        <v>2100</v>
      </c>
      <c r="J10" s="53" t="n">
        <v>2100</v>
      </c>
      <c r="K10" s="53" t="n">
        <v>2100</v>
      </c>
      <c r="L10" s="53" t="n">
        <v>2100</v>
      </c>
      <c r="M10" s="53" t="n">
        <v>2100</v>
      </c>
      <c r="N10" s="53" t="n">
        <v>2100</v>
      </c>
      <c r="O10" s="53" t="n">
        <v>2100</v>
      </c>
      <c r="P10" s="53" t="n">
        <v>2100</v>
      </c>
      <c r="Q10" s="53" t="n">
        <v>2100</v>
      </c>
      <c r="R10" s="53" t="n">
        <v>2100</v>
      </c>
      <c r="S10" s="53" t="n">
        <v>2100</v>
      </c>
      <c r="T10" s="53" t="n">
        <v>2100</v>
      </c>
    </row>
    <row r="11" customFormat="false" ht="19.5" hidden="false" customHeight="true" outlineLevel="0" collapsed="false">
      <c r="B11" s="10" t="s">
        <v>98</v>
      </c>
      <c r="C11" s="52" t="n">
        <v>3200</v>
      </c>
      <c r="D11" s="52" t="n">
        <v>3200</v>
      </c>
      <c r="E11" s="52" t="n">
        <v>10000</v>
      </c>
      <c r="F11" s="52" t="n">
        <v>10000</v>
      </c>
      <c r="G11" s="52" t="n">
        <v>10000</v>
      </c>
      <c r="H11" s="52" t="n">
        <v>10000</v>
      </c>
      <c r="I11" s="52" t="n">
        <v>18000</v>
      </c>
      <c r="J11" s="52" t="n">
        <v>25000</v>
      </c>
      <c r="K11" s="52" t="n">
        <v>32000</v>
      </c>
      <c r="L11" s="52" t="n">
        <v>40000</v>
      </c>
      <c r="M11" s="52" t="n">
        <v>48000</v>
      </c>
      <c r="N11" s="52" t="n">
        <v>55000</v>
      </c>
      <c r="O11" s="52" t="n">
        <v>65000</v>
      </c>
      <c r="P11" s="52" t="n">
        <v>75000</v>
      </c>
      <c r="Q11" s="52" t="n">
        <v>75000</v>
      </c>
      <c r="R11" s="52" t="n">
        <v>75000</v>
      </c>
      <c r="S11" s="52" t="n">
        <v>75000</v>
      </c>
      <c r="T11" s="52" t="n">
        <v>75000</v>
      </c>
    </row>
    <row r="12" customFormat="false" ht="19.5" hidden="false" customHeight="true" outlineLevel="0" collapsed="false">
      <c r="B12" s="8" t="s">
        <v>99</v>
      </c>
      <c r="C12" s="53" t="n">
        <v>2500</v>
      </c>
      <c r="D12" s="53" t="n">
        <v>2500</v>
      </c>
      <c r="E12" s="53" t="n">
        <v>8300</v>
      </c>
      <c r="F12" s="53" t="n">
        <v>8300</v>
      </c>
      <c r="G12" s="53" t="n">
        <v>8300</v>
      </c>
      <c r="H12" s="53" t="n">
        <v>8300</v>
      </c>
      <c r="I12" s="53" t="n">
        <v>15000</v>
      </c>
      <c r="J12" s="53" t="n">
        <v>20000</v>
      </c>
      <c r="K12" s="53" t="n">
        <v>26000</v>
      </c>
      <c r="L12" s="53" t="n">
        <v>33000</v>
      </c>
      <c r="M12" s="53" t="n">
        <v>40000</v>
      </c>
      <c r="N12" s="53" t="n">
        <v>46000</v>
      </c>
      <c r="O12" s="53" t="n">
        <v>55000</v>
      </c>
      <c r="P12" s="53" t="n">
        <v>66500</v>
      </c>
      <c r="Q12" s="53" t="n">
        <v>66500</v>
      </c>
      <c r="R12" s="53" t="n">
        <v>66500</v>
      </c>
      <c r="S12" s="53" t="n">
        <v>66500</v>
      </c>
      <c r="T12" s="53" t="n">
        <v>66500</v>
      </c>
    </row>
    <row r="13" customFormat="false" ht="19.5" hidden="false" customHeight="true" outlineLevel="0" collapsed="false">
      <c r="B13" s="10" t="s">
        <v>100</v>
      </c>
      <c r="C13" s="52" t="n">
        <v>0</v>
      </c>
      <c r="D13" s="52" t="n">
        <v>0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</row>
    <row r="14" customFormat="false" ht="19.5" hidden="false" customHeight="true" outlineLevel="0" collapsed="false">
      <c r="B14" s="8" t="s">
        <v>101</v>
      </c>
      <c r="C14" s="53" t="n">
        <v>500</v>
      </c>
      <c r="D14" s="53" t="n">
        <v>500</v>
      </c>
      <c r="E14" s="53" t="n">
        <v>1700</v>
      </c>
      <c r="F14" s="53" t="n">
        <v>1700</v>
      </c>
      <c r="G14" s="53" t="n">
        <v>1700</v>
      </c>
      <c r="H14" s="53" t="n">
        <v>1700</v>
      </c>
      <c r="I14" s="53" t="n">
        <v>2500</v>
      </c>
      <c r="J14" s="53" t="n">
        <v>3000</v>
      </c>
      <c r="K14" s="53" t="n">
        <v>3500</v>
      </c>
      <c r="L14" s="53" t="n">
        <v>4000</v>
      </c>
      <c r="M14" s="53" t="n">
        <v>4500</v>
      </c>
      <c r="N14" s="53" t="n">
        <v>5000</v>
      </c>
      <c r="O14" s="53" t="n">
        <v>6000</v>
      </c>
      <c r="P14" s="53" t="n">
        <v>7200</v>
      </c>
      <c r="Q14" s="53" t="n">
        <v>7200</v>
      </c>
      <c r="R14" s="53" t="n">
        <v>7200</v>
      </c>
      <c r="S14" s="53" t="n">
        <v>7200</v>
      </c>
      <c r="T14" s="53" t="n">
        <v>7200</v>
      </c>
    </row>
    <row r="15" customFormat="false" ht="18" hidden="false" customHeight="true" outlineLevel="0" collapsed="false">
      <c r="B15" s="51" t="s">
        <v>102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customFormat="false" ht="19.5" hidden="false" customHeight="true" outlineLevel="0" collapsed="false">
      <c r="B16" s="16" t="s">
        <v>103</v>
      </c>
      <c r="C16" s="54" t="n">
        <v>0</v>
      </c>
      <c r="D16" s="54" t="n">
        <v>0</v>
      </c>
      <c r="E16" s="54" t="n">
        <v>200000</v>
      </c>
      <c r="F16" s="54" t="n">
        <v>200000</v>
      </c>
      <c r="G16" s="54" t="n">
        <v>200000</v>
      </c>
      <c r="H16" s="54" t="n">
        <v>200000</v>
      </c>
      <c r="I16" s="54" t="n">
        <v>400000</v>
      </c>
      <c r="J16" s="54" t="n">
        <v>600000</v>
      </c>
      <c r="K16" s="54" t="n">
        <v>800000</v>
      </c>
      <c r="L16" s="54" t="n">
        <v>1000000</v>
      </c>
      <c r="M16" s="54" t="n">
        <v>1200000</v>
      </c>
      <c r="N16" s="54" t="n">
        <v>1500000</v>
      </c>
      <c r="O16" s="54" t="n">
        <v>1800000</v>
      </c>
      <c r="P16" s="54" t="n">
        <v>2000000</v>
      </c>
      <c r="Q16" s="54" t="n">
        <v>2000000</v>
      </c>
      <c r="R16" s="54" t="n">
        <v>2000000</v>
      </c>
      <c r="S16" s="54" t="n">
        <v>2000000</v>
      </c>
      <c r="T16" s="54" t="n">
        <v>2000000</v>
      </c>
    </row>
    <row r="17" customFormat="false" ht="21.75" hidden="false" customHeight="true" outlineLevel="0" collapsed="false">
      <c r="B17" s="37" t="s">
        <v>104</v>
      </c>
      <c r="C17" s="55" t="n">
        <f aca="false">SUM(C8:C15)</f>
        <v>8589</v>
      </c>
      <c r="D17" s="55" t="n">
        <f aca="false">SUM(D8:D15)</f>
        <v>8589</v>
      </c>
      <c r="E17" s="55" t="n">
        <f aca="false">SUM(E8:E15)</f>
        <v>27249</v>
      </c>
      <c r="F17" s="55" t="n">
        <f aca="false">SUM(F8:F15)</f>
        <v>27249</v>
      </c>
      <c r="G17" s="55" t="n">
        <f aca="false">SUM(G8:G15)</f>
        <v>27249</v>
      </c>
      <c r="H17" s="55" t="n">
        <f aca="false">SUM(H8:H15)</f>
        <v>27249</v>
      </c>
      <c r="I17" s="55" t="n">
        <f aca="false">SUM(I8:I15)</f>
        <v>43499</v>
      </c>
      <c r="J17" s="55" t="n">
        <f aca="false">SUM(J8:J15)</f>
        <v>56499</v>
      </c>
      <c r="K17" s="55" t="n">
        <f aca="false">SUM(K8:K15)</f>
        <v>70499</v>
      </c>
      <c r="L17" s="55" t="n">
        <f aca="false">SUM(L8:L15)</f>
        <v>86499</v>
      </c>
      <c r="M17" s="55" t="n">
        <f aca="false">SUM(M8:M15)</f>
        <v>102499</v>
      </c>
      <c r="N17" s="55" t="n">
        <f aca="false">SUM(N8:N15)</f>
        <v>116499</v>
      </c>
      <c r="O17" s="55" t="n">
        <f aca="false">SUM(O8:O15)</f>
        <v>137499</v>
      </c>
      <c r="P17" s="55" t="n">
        <f aca="false">SUM(P8:P15)</f>
        <v>161199</v>
      </c>
      <c r="Q17" s="55" t="n">
        <f aca="false">SUM(Q8:Q15)</f>
        <v>161449</v>
      </c>
      <c r="R17" s="55" t="n">
        <f aca="false">SUM(R8:R15)</f>
        <v>161449</v>
      </c>
      <c r="S17" s="55" t="n">
        <f aca="false">SUM(S8:S15)</f>
        <v>161449</v>
      </c>
      <c r="T17" s="55" t="n">
        <f aca="false">SUM(T8:T15)</f>
        <v>161449</v>
      </c>
    </row>
    <row r="18" customFormat="false" ht="21.75" hidden="false" customHeight="true" outlineLevel="0" collapsed="false">
      <c r="B18" s="56" t="s">
        <v>105</v>
      </c>
      <c r="C18" s="57" t="n">
        <f aca="false">C16-C17</f>
        <v>-8589</v>
      </c>
      <c r="D18" s="57" t="n">
        <f aca="false">D16-D17</f>
        <v>-8589</v>
      </c>
      <c r="E18" s="57" t="n">
        <f aca="false">E16-E17</f>
        <v>172751</v>
      </c>
      <c r="F18" s="57" t="n">
        <f aca="false">F16-F17</f>
        <v>172751</v>
      </c>
      <c r="G18" s="57" t="n">
        <f aca="false">G16-G17</f>
        <v>172751</v>
      </c>
      <c r="H18" s="57" t="n">
        <f aca="false">H16-H17</f>
        <v>172751</v>
      </c>
      <c r="I18" s="57" t="n">
        <f aca="false">I16-I17</f>
        <v>356501</v>
      </c>
      <c r="J18" s="57" t="n">
        <f aca="false">J16-J17</f>
        <v>543501</v>
      </c>
      <c r="K18" s="57" t="n">
        <f aca="false">K16-K17</f>
        <v>729501</v>
      </c>
      <c r="L18" s="57" t="n">
        <f aca="false">L16-L17</f>
        <v>913501</v>
      </c>
      <c r="M18" s="57" t="n">
        <f aca="false">M16-M17</f>
        <v>1097501</v>
      </c>
      <c r="N18" s="57" t="n">
        <f aca="false">N16-N17</f>
        <v>1383501</v>
      </c>
      <c r="O18" s="57" t="n">
        <f aca="false">O16-O17</f>
        <v>1662501</v>
      </c>
      <c r="P18" s="57" t="n">
        <f aca="false">P16-P17</f>
        <v>1838801</v>
      </c>
      <c r="Q18" s="57" t="n">
        <f aca="false">Q16-Q17</f>
        <v>1838551</v>
      </c>
      <c r="R18" s="57" t="n">
        <f aca="false">R16-R17</f>
        <v>1838551</v>
      </c>
      <c r="S18" s="57" t="n">
        <f aca="false">S16-S17</f>
        <v>1838551</v>
      </c>
      <c r="T18" s="57" t="n">
        <f aca="false">T16-T17</f>
        <v>1838551</v>
      </c>
    </row>
  </sheetData>
  <mergeCells count="3">
    <mergeCell ref="B1:T2"/>
    <mergeCell ref="B6:T6"/>
    <mergeCell ref="B15:T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25"/>
    <col collapsed="false" customWidth="true" hidden="false" outlineLevel="0" max="7" min="7" style="0" width="3"/>
  </cols>
  <sheetData>
    <row r="1" customFormat="false" ht="21.75" hidden="false" customHeight="true" outlineLevel="0" collapsed="false">
      <c r="B1" s="26" t="s">
        <v>106</v>
      </c>
      <c r="C1" s="26"/>
      <c r="D1" s="26"/>
      <c r="E1" s="26"/>
      <c r="F1" s="26"/>
    </row>
    <row r="2" customFormat="false" ht="21.75" hidden="false" customHeight="true" outlineLevel="0" collapsed="false">
      <c r="B2" s="26"/>
      <c r="C2" s="26"/>
      <c r="D2" s="26"/>
      <c r="E2" s="26"/>
      <c r="F2" s="26"/>
    </row>
    <row r="3" customFormat="false" ht="19.5" hidden="false" customHeight="true" outlineLevel="0" collapsed="false">
      <c r="B3" s="27" t="s">
        <v>107</v>
      </c>
      <c r="C3" s="27" t="s">
        <v>108</v>
      </c>
      <c r="D3" s="27" t="s">
        <v>109</v>
      </c>
      <c r="E3" s="27" t="s">
        <v>110</v>
      </c>
      <c r="F3" s="27" t="s">
        <v>111</v>
      </c>
    </row>
    <row r="4" customFormat="false" ht="19.5" hidden="false" customHeight="true" outlineLevel="0" collapsed="false">
      <c r="B4" s="8" t="s">
        <v>112</v>
      </c>
      <c r="C4" s="8" t="s">
        <v>113</v>
      </c>
      <c r="D4" s="58" t="s">
        <v>114</v>
      </c>
      <c r="E4" s="58" t="s">
        <v>115</v>
      </c>
      <c r="F4" s="8" t="s">
        <v>116</v>
      </c>
    </row>
    <row r="5" customFormat="false" ht="19.5" hidden="false" customHeight="true" outlineLevel="0" collapsed="false">
      <c r="B5" s="10" t="s">
        <v>117</v>
      </c>
      <c r="C5" s="10" t="s">
        <v>118</v>
      </c>
      <c r="D5" s="59" t="s">
        <v>119</v>
      </c>
      <c r="E5" s="60" t="s">
        <v>120</v>
      </c>
      <c r="F5" s="10" t="s">
        <v>121</v>
      </c>
    </row>
    <row r="6" customFormat="false" ht="19.5" hidden="false" customHeight="true" outlineLevel="0" collapsed="false">
      <c r="B6" s="8" t="s">
        <v>122</v>
      </c>
      <c r="C6" s="8" t="s">
        <v>123</v>
      </c>
      <c r="D6" s="58" t="s">
        <v>124</v>
      </c>
      <c r="E6" s="58" t="s">
        <v>125</v>
      </c>
      <c r="F6" s="8" t="s">
        <v>126</v>
      </c>
    </row>
    <row r="7" customFormat="false" ht="19.5" hidden="false" customHeight="true" outlineLevel="0" collapsed="false">
      <c r="B7" s="10" t="s">
        <v>127</v>
      </c>
      <c r="C7" s="10" t="s">
        <v>128</v>
      </c>
      <c r="D7" s="59" t="s">
        <v>129</v>
      </c>
      <c r="E7" s="61" t="s">
        <v>130</v>
      </c>
      <c r="F7" s="10" t="s">
        <v>131</v>
      </c>
    </row>
    <row r="8" customFormat="false" ht="19.5" hidden="false" customHeight="true" outlineLevel="0" collapsed="false">
      <c r="B8" s="8" t="s">
        <v>132</v>
      </c>
      <c r="C8" s="8" t="s">
        <v>133</v>
      </c>
      <c r="D8" s="58" t="s">
        <v>134</v>
      </c>
      <c r="E8" s="58" t="s">
        <v>135</v>
      </c>
      <c r="F8" s="8" t="s">
        <v>136</v>
      </c>
    </row>
    <row r="9" customFormat="false" ht="19.5" hidden="false" customHeight="true" outlineLevel="0" collapsed="false">
      <c r="B9" s="10" t="s">
        <v>137</v>
      </c>
      <c r="C9" s="10" t="s">
        <v>138</v>
      </c>
      <c r="D9" s="59" t="s">
        <v>139</v>
      </c>
      <c r="E9" s="59" t="s">
        <v>140</v>
      </c>
      <c r="F9" s="10" t="s">
        <v>141</v>
      </c>
    </row>
    <row r="10" customFormat="false" ht="19.5" hidden="false" customHeight="true" outlineLevel="0" collapsed="false">
      <c r="B10" s="8" t="s">
        <v>142</v>
      </c>
      <c r="C10" s="8" t="s">
        <v>143</v>
      </c>
      <c r="D10" s="58" t="s">
        <v>144</v>
      </c>
      <c r="E10" s="62" t="s">
        <v>130</v>
      </c>
      <c r="F10" s="8" t="s">
        <v>145</v>
      </c>
    </row>
    <row r="11" customFormat="false" ht="19.5" hidden="false" customHeight="true" outlineLevel="0" collapsed="false">
      <c r="B11" s="10" t="s">
        <v>146</v>
      </c>
      <c r="C11" s="10" t="s">
        <v>147</v>
      </c>
      <c r="D11" s="59" t="s">
        <v>148</v>
      </c>
      <c r="E11" s="61" t="s">
        <v>130</v>
      </c>
      <c r="F11" s="10" t="s">
        <v>149</v>
      </c>
    </row>
    <row r="12" customFormat="false" ht="19.5" hidden="false" customHeight="true" outlineLevel="0" collapsed="false">
      <c r="B12" s="8" t="s">
        <v>150</v>
      </c>
      <c r="C12" s="8" t="s">
        <v>151</v>
      </c>
      <c r="D12" s="58" t="s">
        <v>152</v>
      </c>
      <c r="E12" s="63" t="s">
        <v>153</v>
      </c>
      <c r="F12" s="8" t="s">
        <v>154</v>
      </c>
    </row>
    <row r="13" customFormat="false" ht="19.5" hidden="false" customHeight="true" outlineLevel="0" collapsed="false">
      <c r="B13" s="10" t="s">
        <v>155</v>
      </c>
      <c r="C13" s="10" t="s">
        <v>156</v>
      </c>
      <c r="D13" s="59" t="s">
        <v>157</v>
      </c>
      <c r="E13" s="60" t="s">
        <v>158</v>
      </c>
      <c r="F13" s="10" t="s">
        <v>159</v>
      </c>
    </row>
    <row r="14" customFormat="false" ht="19.5" hidden="false" customHeight="true" outlineLevel="0" collapsed="false">
      <c r="B14" s="8" t="s">
        <v>160</v>
      </c>
      <c r="C14" s="8" t="s">
        <v>161</v>
      </c>
      <c r="D14" s="58" t="s">
        <v>162</v>
      </c>
      <c r="E14" s="62" t="s">
        <v>130</v>
      </c>
      <c r="F14" s="8" t="s">
        <v>163</v>
      </c>
    </row>
    <row r="15" customFormat="false" ht="19.5" hidden="false" customHeight="true" outlineLevel="0" collapsed="false">
      <c r="B15" s="10" t="s">
        <v>164</v>
      </c>
      <c r="C15" s="10" t="s">
        <v>165</v>
      </c>
      <c r="D15" s="59" t="s">
        <v>166</v>
      </c>
      <c r="E15" s="61" t="s">
        <v>130</v>
      </c>
      <c r="F15" s="10" t="s">
        <v>167</v>
      </c>
    </row>
    <row r="16" customFormat="false" ht="19.5" hidden="false" customHeight="true" outlineLevel="0" collapsed="false">
      <c r="B16" s="8" t="s">
        <v>168</v>
      </c>
      <c r="C16" s="8" t="s">
        <v>169</v>
      </c>
      <c r="D16" s="58" t="s">
        <v>166</v>
      </c>
      <c r="E16" s="62" t="s">
        <v>130</v>
      </c>
      <c r="F16" s="8" t="s">
        <v>170</v>
      </c>
    </row>
    <row r="17" customFormat="false" ht="19.5" hidden="false" customHeight="true" outlineLevel="0" collapsed="false">
      <c r="B17" s="10" t="s">
        <v>171</v>
      </c>
      <c r="C17" s="10" t="s">
        <v>172</v>
      </c>
      <c r="D17" s="59" t="s">
        <v>173</v>
      </c>
      <c r="E17" s="61" t="s">
        <v>130</v>
      </c>
      <c r="F17" s="10" t="s">
        <v>174</v>
      </c>
    </row>
    <row r="18" customFormat="false" ht="21.75" hidden="false" customHeight="true" outlineLevel="0" collapsed="false">
      <c r="B18" s="64" t="s">
        <v>175</v>
      </c>
      <c r="C18" s="64"/>
      <c r="D18" s="64"/>
      <c r="E18" s="65" t="s">
        <v>176</v>
      </c>
      <c r="F18" s="65"/>
    </row>
  </sheetData>
  <mergeCells count="3">
    <mergeCell ref="B1:F2"/>
    <mergeCell ref="B18:D18"/>
    <mergeCell ref="E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2026-03-21T09:22:55Z</dcterms:created>
  <dc:creator>openpyxl</dc:creator>
  <dc:description/>
  <dc:language>en-US</dc:language>
  <cp:lastModifiedBy/>
  <dcterms:modified xsi:type="dcterms:W3CDTF">2026-03-21T09:22:55Z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